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omin\Desktop\Excel\Balkonkraftwerk\"/>
    </mc:Choice>
  </mc:AlternateContent>
  <xr:revisionPtr revIDLastSave="0" documentId="13_ncr:1_{2D6221AC-C2E3-441D-921B-9685B1D5DB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  <sheet name="Jahre" sheetId="2" r:id="rId2"/>
    <sheet name="Anschaffungskoste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4" l="1"/>
  <c r="C14" i="1"/>
  <c r="C13" i="1"/>
  <c r="C12" i="1"/>
  <c r="C11" i="1"/>
  <c r="C10" i="1"/>
  <c r="C9" i="1"/>
  <c r="C16" i="1" s="1"/>
  <c r="S35" i="2"/>
  <c r="U35" i="2" s="1"/>
  <c r="L35" i="2"/>
  <c r="M35" i="2" s="1"/>
  <c r="E35" i="2"/>
  <c r="G35" i="2" s="1"/>
  <c r="S34" i="2"/>
  <c r="U34" i="2" s="1"/>
  <c r="L34" i="2"/>
  <c r="N34" i="2" s="1"/>
  <c r="E34" i="2"/>
  <c r="F34" i="2" s="1"/>
  <c r="T33" i="2"/>
  <c r="S33" i="2"/>
  <c r="U33" i="2" s="1"/>
  <c r="L33" i="2"/>
  <c r="N33" i="2" s="1"/>
  <c r="E33" i="2"/>
  <c r="G33" i="2" s="1"/>
  <c r="S32" i="2"/>
  <c r="T32" i="2" s="1"/>
  <c r="L32" i="2"/>
  <c r="N32" i="2" s="1"/>
  <c r="E32" i="2"/>
  <c r="G32" i="2" s="1"/>
  <c r="S31" i="2"/>
  <c r="U31" i="2" s="1"/>
  <c r="L31" i="2"/>
  <c r="M31" i="2" s="1"/>
  <c r="E31" i="2"/>
  <c r="F31" i="2" s="1"/>
  <c r="S30" i="2"/>
  <c r="U30" i="2" s="1"/>
  <c r="M30" i="2"/>
  <c r="L30" i="2"/>
  <c r="N30" i="2" s="1"/>
  <c r="E30" i="2"/>
  <c r="F30" i="2" s="1"/>
  <c r="S29" i="2"/>
  <c r="T29" i="2" s="1"/>
  <c r="L29" i="2"/>
  <c r="N29" i="2" s="1"/>
  <c r="E29" i="2"/>
  <c r="G29" i="2" s="1"/>
  <c r="U28" i="2"/>
  <c r="T28" i="2"/>
  <c r="S28" i="2"/>
  <c r="L28" i="2"/>
  <c r="N28" i="2" s="1"/>
  <c r="E28" i="2"/>
  <c r="G28" i="2" s="1"/>
  <c r="S27" i="2"/>
  <c r="U27" i="2" s="1"/>
  <c r="L27" i="2"/>
  <c r="N27" i="2" s="1"/>
  <c r="E27" i="2"/>
  <c r="G27" i="2" s="1"/>
  <c r="S26" i="2"/>
  <c r="U26" i="2" s="1"/>
  <c r="L26" i="2"/>
  <c r="N26" i="2" s="1"/>
  <c r="G26" i="2"/>
  <c r="E26" i="2"/>
  <c r="F26" i="2" s="1"/>
  <c r="S25" i="2"/>
  <c r="U25" i="2" s="1"/>
  <c r="L25" i="2"/>
  <c r="M25" i="2" s="1"/>
  <c r="E25" i="2"/>
  <c r="G25" i="2" s="1"/>
  <c r="U24" i="2"/>
  <c r="S24" i="2"/>
  <c r="T24" i="2" s="1"/>
  <c r="N24" i="2"/>
  <c r="M24" i="2"/>
  <c r="L24" i="2"/>
  <c r="E24" i="2"/>
  <c r="G24" i="2" s="1"/>
  <c r="E7" i="2"/>
  <c r="G7" i="2" s="1"/>
  <c r="U9" i="2"/>
  <c r="U10" i="2"/>
  <c r="U15" i="2"/>
  <c r="N10" i="2"/>
  <c r="N11" i="2"/>
  <c r="T14" i="2"/>
  <c r="M10" i="2"/>
  <c r="M11" i="2"/>
  <c r="M13" i="2"/>
  <c r="S17" i="2"/>
  <c r="U17" i="2" s="1"/>
  <c r="S16" i="2"/>
  <c r="T16" i="2" s="1"/>
  <c r="S15" i="2"/>
  <c r="T15" i="2" s="1"/>
  <c r="S14" i="2"/>
  <c r="U14" i="2" s="1"/>
  <c r="S13" i="2"/>
  <c r="U13" i="2" s="1"/>
  <c r="S12" i="2"/>
  <c r="U12" i="2" s="1"/>
  <c r="S11" i="2"/>
  <c r="U11" i="2" s="1"/>
  <c r="S10" i="2"/>
  <c r="T10" i="2" s="1"/>
  <c r="S9" i="2"/>
  <c r="T9" i="2" s="1"/>
  <c r="S8" i="2"/>
  <c r="T8" i="2" s="1"/>
  <c r="S7" i="2"/>
  <c r="T7" i="2" s="1"/>
  <c r="S6" i="2"/>
  <c r="T6" i="2" s="1"/>
  <c r="L17" i="2"/>
  <c r="N17" i="2" s="1"/>
  <c r="L16" i="2"/>
  <c r="N16" i="2" s="1"/>
  <c r="L15" i="2"/>
  <c r="N15" i="2" s="1"/>
  <c r="L14" i="2"/>
  <c r="M14" i="2" s="1"/>
  <c r="L13" i="2"/>
  <c r="N13" i="2" s="1"/>
  <c r="L12" i="2"/>
  <c r="N12" i="2" s="1"/>
  <c r="L11" i="2"/>
  <c r="L10" i="2"/>
  <c r="L9" i="2"/>
  <c r="M9" i="2" s="1"/>
  <c r="L8" i="2"/>
  <c r="M8" i="2" s="1"/>
  <c r="L7" i="2"/>
  <c r="M7" i="2" s="1"/>
  <c r="L6" i="2"/>
  <c r="N6" i="2" s="1"/>
  <c r="E8" i="2"/>
  <c r="G8" i="2" s="1"/>
  <c r="E9" i="2"/>
  <c r="G9" i="2" s="1"/>
  <c r="E10" i="2"/>
  <c r="G10" i="2" s="1"/>
  <c r="E11" i="2"/>
  <c r="F11" i="2" s="1"/>
  <c r="E12" i="2"/>
  <c r="F12" i="2" s="1"/>
  <c r="E13" i="2"/>
  <c r="F13" i="2" s="1"/>
  <c r="E14" i="2"/>
  <c r="F14" i="2" s="1"/>
  <c r="E15" i="2"/>
  <c r="G15" i="2" s="1"/>
  <c r="E16" i="2"/>
  <c r="F16" i="2" s="1"/>
  <c r="E17" i="2"/>
  <c r="G17" i="2" s="1"/>
  <c r="E6" i="2"/>
  <c r="G6" i="2" s="1"/>
  <c r="U16" i="2" l="1"/>
  <c r="M32" i="2"/>
  <c r="N35" i="2"/>
  <c r="T17" i="2"/>
  <c r="U29" i="2"/>
  <c r="T13" i="2"/>
  <c r="F33" i="2"/>
  <c r="U7" i="2"/>
  <c r="T12" i="2"/>
  <c r="F27" i="2"/>
  <c r="G30" i="2"/>
  <c r="T11" i="2"/>
  <c r="F11" i="1" s="1"/>
  <c r="D9" i="1"/>
  <c r="M12" i="2"/>
  <c r="D10" i="1"/>
  <c r="E10" i="1" s="1"/>
  <c r="U8" i="2"/>
  <c r="G34" i="2"/>
  <c r="D11" i="1"/>
  <c r="E11" i="1" s="1"/>
  <c r="D12" i="1"/>
  <c r="E12" i="1" s="1"/>
  <c r="M28" i="2"/>
  <c r="M6" i="2"/>
  <c r="N9" i="2"/>
  <c r="F25" i="2"/>
  <c r="N31" i="2"/>
  <c r="D14" i="1"/>
  <c r="E14" i="1" s="1"/>
  <c r="D13" i="1"/>
  <c r="E13" i="1" s="1"/>
  <c r="M17" i="2"/>
  <c r="F35" i="2"/>
  <c r="N25" i="2"/>
  <c r="T25" i="2"/>
  <c r="F14" i="1" s="1"/>
  <c r="U32" i="2"/>
  <c r="F24" i="2"/>
  <c r="M29" i="2"/>
  <c r="G31" i="2"/>
  <c r="T34" i="2"/>
  <c r="M34" i="2"/>
  <c r="T27" i="2"/>
  <c r="T30" i="2"/>
  <c r="F28" i="2"/>
  <c r="M33" i="2"/>
  <c r="M26" i="2"/>
  <c r="F13" i="1" s="1"/>
  <c r="T31" i="2"/>
  <c r="M27" i="2"/>
  <c r="T26" i="2"/>
  <c r="F32" i="2"/>
  <c r="F29" i="2"/>
  <c r="T35" i="2"/>
  <c r="M16" i="2"/>
  <c r="N8" i="2"/>
  <c r="N7" i="2"/>
  <c r="F15" i="2"/>
  <c r="U6" i="2"/>
  <c r="M15" i="2"/>
  <c r="F10" i="2"/>
  <c r="F9" i="2"/>
  <c r="F8" i="2"/>
  <c r="N14" i="2"/>
  <c r="G16" i="2"/>
  <c r="G14" i="2"/>
  <c r="G13" i="2"/>
  <c r="G12" i="2"/>
  <c r="G11" i="2"/>
  <c r="F17" i="2"/>
  <c r="F6" i="2"/>
  <c r="F7" i="2"/>
  <c r="E9" i="1" l="1"/>
  <c r="E16" i="1" s="1"/>
  <c r="D16" i="1"/>
  <c r="F10" i="1"/>
  <c r="F12" i="1"/>
  <c r="F9" i="1"/>
  <c r="F16" i="1" s="1"/>
  <c r="D20" i="1" s="1"/>
</calcChain>
</file>

<file path=xl/sharedStrings.xml><?xml version="1.0" encoding="utf-8"?>
<sst xmlns="http://schemas.openxmlformats.org/spreadsheetml/2006/main" count="127" uniqueCount="31">
  <si>
    <t>Auswertung des Balkonkraftwerkes</t>
  </si>
  <si>
    <t>Monat</t>
  </si>
  <si>
    <t>Erzeugt</t>
  </si>
  <si>
    <t>Verbraucht</t>
  </si>
  <si>
    <t>Eingespeist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</si>
  <si>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</si>
  <si>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</si>
  <si>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</si>
  <si>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</si>
  <si>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</si>
  <si>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</si>
  <si>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</si>
  <si>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</si>
  <si>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</si>
  <si>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</si>
  <si>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</si>
  <si>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</si>
  <si>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Ersparnis</t>
  </si>
  <si>
    <t>Eigenverbrauch</t>
  </si>
  <si>
    <t>Strompreis:</t>
  </si>
  <si>
    <t>Erzeugte Strommenge</t>
  </si>
  <si>
    <t>Verbrauchter Strom</t>
  </si>
  <si>
    <t>Eigenverbrauchsquote</t>
  </si>
  <si>
    <t>Anschaffungskosten des Balkonkraftwerkes</t>
  </si>
  <si>
    <t>Artikel</t>
  </si>
  <si>
    <t>Preis</t>
  </si>
  <si>
    <t>Gesamtbetrag</t>
  </si>
  <si>
    <t>Jahre</t>
  </si>
  <si>
    <t>Gesamt</t>
  </si>
  <si>
    <t>Anschaffungskosten</t>
  </si>
  <si>
    <t>Reingewinn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</si>
</sst>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&quot;kWh&quot;"/>
    <numFmt numFmtId="165" formatCode="#,##0.00\ &quot;€&quot;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7" fillId="0" borderId="0" xfId="0" applyFont="1"/>
    <xf numFmtId="166" fontId="0" fillId="0" borderId="0" xfId="1" applyNumberFormat="1" applyFont="1"/>
    <xf numFmtId="0" fontId="7" fillId="0" borderId="0" xfId="0" applyFont="1" applyAlignment="1"/>
    <xf numFmtId="165" fontId="7" fillId="0" borderId="7" xfId="0" applyNumberFormat="1" applyFont="1" applyBorder="1"/>
    <xf numFmtId="0" fontId="7" fillId="0" borderId="4" xfId="0" applyFont="1" applyBorder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7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165" fontId="9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 applyProtection="1">
      <protection locked="0"/>
    </xf>
    <xf numFmtId="165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</cellXfs>
  <cellStyles count="2">
    <cellStyle name="Prozent" xfId="1" builtinId="5"/>
    <cellStyle name="Standard" xfId="0" builtinId="0"/>
  </cellStyles>
  <dxfs count="39">
    <dxf>
      <protection locked="0" hidden="0"/>
    </dxf>
    <dxf>
      <numFmt numFmtId="165" formatCode="#,##0.00\ &quot;€&quot;"/>
      <protection locked="0" hidden="0"/>
    </dxf>
    <dxf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4" formatCode="0.00\ &quot;kWh&quot;"/>
      <protection locked="0" hidden="0"/>
    </dxf>
    <dxf>
      <numFmt numFmtId="165" formatCode="#,##0.00\ &quot;€&quot;"/>
    </dxf>
    <dxf>
      <numFmt numFmtId="164" formatCode="0.00\ &quot;kWh&quot;"/>
    </dxf>
    <dxf>
      <numFmt numFmtId="165" formatCode="#,##0.00\ &quot;€&quot;"/>
    </dxf>
    <dxf>
      <numFmt numFmtId="164" formatCode="0.00\ &quot;kWh&quot;"/>
    </dxf>
    <dxf>
      <numFmt numFmtId="165" formatCode="#,##0.00\ &quot;€&quot;"/>
    </dxf>
    <dxf>
      <numFmt numFmtId="164" formatCode="0.00\ &quot;kWh&quot;"/>
    </dxf>
    <dxf>
      <numFmt numFmtId="165" formatCode="#,##0.00\ &quot;€&quot;"/>
    </dxf>
    <dxf>
      <numFmt numFmtId="164" formatCode="0.00\ &quot;kWh&quot;"/>
    </dxf>
    <dxf>
      <numFmt numFmtId="165" formatCode="#,##0.00\ &quot;€&quot;"/>
    </dxf>
    <dxf>
      <numFmt numFmtId="164" formatCode="0.00\ &quot;kWh&quot;"/>
    </dxf>
    <dxf>
      <numFmt numFmtId="165" formatCode="#,##0.00\ &quot;€&quot;"/>
    </dxf>
    <dxf>
      <numFmt numFmtId="164" formatCode="0.00\ &quot;kWh&quot;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5" formatCode="#,##0.00\ &quot;€&quot;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Erzeugte Strommenge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Dashboard!$B$9:$B$14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Dashboard!$C$9:$C$14</c:f>
              <c:numCache>
                <c:formatCode>0.00\ "kWh"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A-4108-80D0-FA755198CF25}"/>
            </c:ext>
          </c:extLst>
        </c:ser>
        <c:ser>
          <c:idx val="1"/>
          <c:order val="1"/>
          <c:tx>
            <c:strRef>
              <c:f>Dashboard!$D$8</c:f>
              <c:strCache>
                <c:ptCount val="1"/>
                <c:pt idx="0">
                  <c:v>Verbrauchter Strom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Dashboard!$B$9:$B$14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Dashboard!$D$9:$D$14</c:f>
              <c:numCache>
                <c:formatCode>0.00\ "kWh"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A-4108-80D0-FA755198CF25}"/>
            </c:ext>
          </c:extLst>
        </c:ser>
        <c:ser>
          <c:idx val="2"/>
          <c:order val="2"/>
          <c:tx>
            <c:strRef>
              <c:f>Dashboard!$E$8</c:f>
              <c:strCache>
                <c:ptCount val="1"/>
                <c:pt idx="0">
                  <c:v>Eigenverbrauchsquote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Dashboard!$B$9:$B$14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Dashboard!$E$9:$E$14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A-4108-80D0-FA755198CF25}"/>
            </c:ext>
          </c:extLst>
        </c:ser>
        <c:ser>
          <c:idx val="3"/>
          <c:order val="3"/>
          <c:tx>
            <c:strRef>
              <c:f>Dashboard!$F$8</c:f>
              <c:strCache>
                <c:ptCount val="1"/>
                <c:pt idx="0">
                  <c:v>Ersparnis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Dashboard!$B$9:$B$14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Dashboard!$F$9:$F$14</c:f>
              <c:numCache>
                <c:formatCode>#,##0.00\ "€"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A-4108-80D0-FA755198C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583856"/>
        <c:axId val="1171585104"/>
      </c:lineChart>
      <c:catAx>
        <c:axId val="11715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585104"/>
        <c:crosses val="autoZero"/>
        <c:auto val="1"/>
        <c:lblAlgn val="ctr"/>
        <c:lblOffset val="100"/>
        <c:noMultiLvlLbl val="0"/>
      </c:catAx>
      <c:valAx>
        <c:axId val="11715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58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190499</xdr:rowOff>
    </xdr:from>
    <xdr:to>
      <xdr:col>22</xdr:col>
      <xdr:colOff>0</xdr:colOff>
      <xdr:row>28</xdr:row>
      <xdr:rowOff>190499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A7A0E0B-2808-471C-8550-7F82B3B57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82CADC-4E42-4983-8B38-AAF0CCF8CA2E}" name="Tabelle9" displayName="Tabelle9" ref="B8:F14" totalsRowShown="0" headerRowDxfId="34" dataDxfId="33">
  <autoFilter ref="B8:F14" xr:uid="{5982CADC-4E42-4983-8B38-AAF0CCF8CA2E}"/>
  <tableColumns count="5">
    <tableColumn id="1" xr3:uid="{2101DCE8-0499-4F71-8DC8-B81EF6706F1F}" name="Jahre" dataDxfId="31"/>
    <tableColumn id="2" xr3:uid="{DE1F7264-4AB8-4BBA-A7CB-AE3A7C1E5A75}" name="Erzeugte Strommenge" dataDxfId="30"/>
    <tableColumn id="3" xr3:uid="{BB05E900-6733-4F72-AC63-166ADC8B5318}" name="Verbrauchter Strom" dataDxfId="29"/>
    <tableColumn id="4" xr3:uid="{8B2C7DF1-1C00-4D70-B9A2-28163FC97C01}" name="Eigenverbrauchsquote" dataDxfId="28" dataCellStyle="Prozent">
      <calculatedColumnFormula>Tabelle9[[#This Row],[Verbrauchter Strom]]/Tabelle9[[#This Row],[Erzeugte Strommenge]]</calculatedColumnFormula>
    </tableColumn>
    <tableColumn id="5" xr3:uid="{147BF509-C7E9-4181-ADF7-1D86A3FDB965}" name="Ersparnis" dataDxfId="27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73575-3284-46CA-99EC-D34ECB79E4E7}" name="Tabelle1" displayName="Tabelle1" ref="B5:G17" totalsRowShown="0">
  <autoFilter ref="B5:G17" xr:uid="{56B73575-3284-46CA-99EC-D34ECB79E4E7}"/>
  <tableColumns count="6">
    <tableColumn id="1" xr3:uid="{7800D5D1-B247-4AB9-8C61-7D537636401C}" name="Monat"/>
    <tableColumn id="2" xr3:uid="{E280D38D-B026-4F69-8E76-B2A761C416D2}" name="Erzeugt" dataDxfId="14"/>
    <tableColumn id="3" xr3:uid="{B9279FFE-19CE-4E20-9CD4-AA4CF04D6584}" name="Eingespeist" dataDxfId="13"/>
    <tableColumn id="4" xr3:uid="{5A3674FE-0BE2-4154-B033-15C503EAC900}" name="Verbraucht" dataDxfId="26">
      <calculatedColumnFormula>Tabelle1[[#This Row],[Erzeugt]]-Tabelle1[[#This Row],[Eingespeist]]</calculatedColumnFormula>
    </tableColumn>
    <tableColumn id="5" xr3:uid="{FD314FE3-2E28-4D71-AF73-ACB4BE390887}" name="Ersparnis" dataDxfId="25">
      <calculatedColumnFormula>Tabelle1[[#This Row],[Verbraucht]]*$D$2</calculatedColumnFormula>
    </tableColumn>
    <tableColumn id="6" xr3:uid="{D47E630A-9E11-4AB1-8E8E-3D71DE712B09}" name="Eigenverbrauch" dataCellStyle="Prozent">
      <calculatedColumnFormula>Tabelle1[[#This Row],[Verbraucht]]/Tabelle1[[#This Row],[Erzeugt]]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931EA-B49B-40F3-B312-5B63E8E1943C}" name="Tabelle13" displayName="Tabelle13" ref="I5:N17" totalsRowShown="0">
  <autoFilter ref="I5:N17" xr:uid="{CC0931EA-B49B-40F3-B312-5B63E8E1943C}"/>
  <tableColumns count="6">
    <tableColumn id="1" xr3:uid="{964408B1-CCDF-4898-A50F-603B533BBEE0}" name="Monat"/>
    <tableColumn id="2" xr3:uid="{7DEFF51E-8C37-40CF-96C0-58F2194DF0A7}" name="Erzeugt" dataDxfId="12"/>
    <tableColumn id="3" xr3:uid="{916E789C-07A6-44A5-91EF-898281DE79C3}" name="Eingespeist" dataDxfId="11"/>
    <tableColumn id="4" xr3:uid="{C3477848-A19B-4E6B-84C6-D00FB6A0E3EA}" name="Verbraucht" dataDxfId="24">
      <calculatedColumnFormula>Tabelle13[[#This Row],[Erzeugt]]-Tabelle13[[#This Row],[Eingespeist]]</calculatedColumnFormula>
    </tableColumn>
    <tableColumn id="5" xr3:uid="{A353418F-65CE-4CF4-82DA-762F2F4AEC28}" name="Ersparnis" dataDxfId="23">
      <calculatedColumnFormula>Tabelle13[[#This Row],[Verbraucht]]*$K$2</calculatedColumnFormula>
    </tableColumn>
    <tableColumn id="6" xr3:uid="{DB3E22AC-2E40-48F6-9B3C-71DD2722BF17}" name="Eigenverbrauch" dataCellStyle="Prozent">
      <calculatedColumnFormula>Tabelle13[[#This Row],[Verbraucht]]/Tabelle13[[#This Row],[Erzeugt]]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AFD62-D492-4BED-B867-D363B5285228}" name="Tabelle134" displayName="Tabelle134" ref="P5:U17" totalsRowShown="0">
  <autoFilter ref="P5:U17" xr:uid="{431AFD62-D492-4BED-B867-D363B5285228}"/>
  <tableColumns count="6">
    <tableColumn id="1" xr3:uid="{E1474533-AF84-4DD1-9353-705F077C63F9}" name="Monat"/>
    <tableColumn id="2" xr3:uid="{81E84557-172A-4791-98A7-B7713EA920D9}" name="Erzeugt" dataDxfId="10"/>
    <tableColumn id="3" xr3:uid="{C9B2BD08-02F9-4D26-B128-589183EEA759}" name="Eingespeist" dataDxfId="9"/>
    <tableColumn id="4" xr3:uid="{DCD840A3-6AA1-4A11-975B-7920404F7BD0}" name="Verbraucht" dataDxfId="22">
      <calculatedColumnFormula>Tabelle134[[#This Row],[Erzeugt]]-Tabelle134[[#This Row],[Eingespeist]]</calculatedColumnFormula>
    </tableColumn>
    <tableColumn id="5" xr3:uid="{D35EB1B5-6698-4754-B693-16A833A8D735}" name="Ersparnis" dataDxfId="21">
      <calculatedColumnFormula>Tabelle134[[#This Row],[Verbraucht]]*$R$2</calculatedColumnFormula>
    </tableColumn>
    <tableColumn id="6" xr3:uid="{648BA73C-8598-4F89-BC70-8127D5EBE7D2}" name="Eigenverbrauch" dataCellStyle="Prozent">
      <calculatedColumnFormula>Tabelle134[[#This Row],[Verbraucht]]/Tabelle134[[#This Row],[Erzeugt]]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7A2C33-8BB7-4A4F-A689-86615A81C4C6}" name="Tabelle17" displayName="Tabelle17" ref="B23:G35" totalsRowShown="0">
  <autoFilter ref="B23:G35" xr:uid="{A87A2C33-8BB7-4A4F-A689-86615A81C4C6}"/>
  <tableColumns count="6">
    <tableColumn id="1" xr3:uid="{C9A8386C-A4B0-4CCB-A9DD-D3A2D0450CEC}" name="Monat"/>
    <tableColumn id="2" xr3:uid="{116F63B5-007E-4C66-93BE-99EF719E85F0}" name="Erzeugt" dataDxfId="8"/>
    <tableColumn id="3" xr3:uid="{18FB97E3-9C46-4C17-9080-9B7A0D3BCB44}" name="Eingespeist" dataDxfId="7"/>
    <tableColumn id="4" xr3:uid="{66B75269-3652-4B78-8C19-EF2617B7B09C}" name="Verbraucht" dataDxfId="20">
      <calculatedColumnFormula>Tabelle17[[#This Row],[Erzeugt]]-Tabelle17[[#This Row],[Eingespeist]]</calculatedColumnFormula>
    </tableColumn>
    <tableColumn id="5" xr3:uid="{D08F78CB-B65A-4C25-9D97-EBA84105646E}" name="Ersparnis" dataDxfId="19">
      <calculatedColumnFormula>Tabelle17[[#This Row],[Verbraucht]]*$D$2</calculatedColumnFormula>
    </tableColumn>
    <tableColumn id="6" xr3:uid="{774BEC24-A1F4-449A-AA07-1893352A08B7}" name="Eigenverbrauch" dataCellStyle="Prozent">
      <calculatedColumnFormula>Tabelle17[[#This Row],[Verbraucht]]/Tabelle17[[#This Row],[Erzeugt]]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1F2B7A-CB52-4EAE-B70A-CEC0C0F8DD52}" name="Tabelle138" displayName="Tabelle138" ref="I23:N35" totalsRowShown="0">
  <autoFilter ref="I23:N35" xr:uid="{AD1F2B7A-CB52-4EAE-B70A-CEC0C0F8DD52}"/>
  <tableColumns count="6">
    <tableColumn id="1" xr3:uid="{DA73D7F4-9C17-4A20-9A74-5FAF7BE869D9}" name="Monat"/>
    <tableColumn id="2" xr3:uid="{BA45F190-21B9-4F28-B58E-D5DF1E0E7C41}" name="Erzeugt" dataDxfId="6"/>
    <tableColumn id="3" xr3:uid="{9254ACF2-A1CA-4B9D-B85D-46DE74981DA9}" name="Eingespeist" dataDxfId="5"/>
    <tableColumn id="4" xr3:uid="{5154C13B-CE49-493C-A98C-2024D4E8E2E5}" name="Verbraucht" dataDxfId="18">
      <calculatedColumnFormula>Tabelle138[[#This Row],[Erzeugt]]-Tabelle138[[#This Row],[Eingespeist]]</calculatedColumnFormula>
    </tableColumn>
    <tableColumn id="5" xr3:uid="{EC938144-61DE-4372-9B1C-1E96E338B88E}" name="Ersparnis" dataDxfId="17">
      <calculatedColumnFormula>Tabelle138[[#This Row],[Verbraucht]]*$K$2</calculatedColumnFormula>
    </tableColumn>
    <tableColumn id="6" xr3:uid="{94FD35B7-5838-4CCE-86A0-89A494873098}" name="Eigenverbrauch" dataCellStyle="Prozent">
      <calculatedColumnFormula>Tabelle138[[#This Row],[Verbraucht]]/Tabelle138[[#This Row],[Erzeugt]]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1CE0F2-4024-4C61-BE69-739189BA3D72}" name="Tabelle1349" displayName="Tabelle1349" ref="P23:U35" totalsRowShown="0">
  <autoFilter ref="P23:U35" xr:uid="{751CE0F2-4024-4C61-BE69-739189BA3D72}"/>
  <tableColumns count="6">
    <tableColumn id="1" xr3:uid="{9593D524-9B53-4C58-AD7C-133179E4D5D5}" name="Monat"/>
    <tableColumn id="2" xr3:uid="{872F5DB0-F380-4B1E-AB29-7013F67D5B24}" name="Erzeugt" dataDxfId="4"/>
    <tableColumn id="3" xr3:uid="{0B3F3DC8-D700-4626-B50F-1000D8384368}" name="Eingespeist" dataDxfId="3"/>
    <tableColumn id="4" xr3:uid="{1021C3ED-E301-48EC-890E-C1298D28F8C9}" name="Verbraucht" dataDxfId="16">
      <calculatedColumnFormula>Tabelle1349[[#This Row],[Erzeugt]]-Tabelle1349[[#This Row],[Eingespeist]]</calculatedColumnFormula>
    </tableColumn>
    <tableColumn id="5" xr3:uid="{2D1555A6-B2F0-4DCD-A461-36BF1341D112}" name="Ersparnis" dataDxfId="15">
      <calculatedColumnFormula>Tabelle1349[[#This Row],[Verbraucht]]*$R$2</calculatedColumnFormula>
    </tableColumn>
    <tableColumn id="6" xr3:uid="{C77EB159-5ED0-4F59-AAAE-6EED2B4B9B38}" name="Eigenverbrauch" dataCellStyle="Prozent">
      <calculatedColumnFormula>Tabelle1349[[#This Row],[Verbraucht]]/Tabelle1349[[#This Row],[Erzeugt]]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5F97EB-7FBE-4339-9D88-987D2EC2D8C7}" name="Tabelle411" displayName="Tabelle411" ref="C10:D19" dataDxfId="0">
  <autoFilter ref="C10:D19" xr:uid="{215F97EB-7FBE-4339-9D88-987D2EC2D8C7}"/>
  <tableColumns count="2">
    <tableColumn id="1" xr3:uid="{8DEA2421-D27F-4FCF-8C0D-E4DBA0CC92BF}" name="Artikel" totalsRowLabel="Gesamtbetrag" dataDxfId="2"/>
    <tableColumn id="2" xr3:uid="{C90F9A0F-DA85-4B0C-92C7-AC607E4A582C}" name="Preis" totalsRowFunction="sum" dataDxfId="1" totalsRowDxfId="3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showGridLines="0" tabSelected="1" workbookViewId="0"/>
  </sheetViews>
  <sheetFormatPr baseColWidth="10" defaultColWidth="0" defaultRowHeight="15" zeroHeight="1" x14ac:dyDescent="0.25"/>
  <cols>
    <col min="1" max="1" width="3.7109375" customWidth="1"/>
    <col min="2" max="2" width="10.5703125" bestFit="1" customWidth="1"/>
    <col min="3" max="3" width="29.140625" bestFit="1" customWidth="1"/>
    <col min="4" max="4" width="26.42578125" bestFit="1" customWidth="1"/>
    <col min="5" max="5" width="29.42578125" bestFit="1" customWidth="1"/>
    <col min="6" max="6" width="14" bestFit="1" customWidth="1"/>
    <col min="7" max="7" width="5.7109375" customWidth="1"/>
    <col min="8" max="8" width="10.85546875" bestFit="1" customWidth="1"/>
    <col min="9" max="9" width="11.140625" bestFit="1" customWidth="1"/>
    <col min="10" max="22" width="9.140625" customWidth="1"/>
    <col min="23" max="23" width="3.7109375" customWidth="1"/>
    <col min="24" max="16384" width="9.140625" hidden="1"/>
  </cols>
  <sheetData>
    <row r="1" spans="2:22" ht="6.95" customHeight="1" x14ac:dyDescent="0.25"/>
    <row r="2" spans="2:22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5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2:22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2:22" x14ac:dyDescent="0.2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2:22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2:22" x14ac:dyDescent="0.25"/>
    <row r="8" spans="2:22" ht="18.75" x14ac:dyDescent="0.25">
      <c r="B8" s="10" t="s">
        <v>27</v>
      </c>
      <c r="C8" s="10" t="s">
        <v>20</v>
      </c>
      <c r="D8" s="10" t="s">
        <v>21</v>
      </c>
      <c r="E8" s="10" t="s">
        <v>22</v>
      </c>
      <c r="F8" s="10" t="s">
        <v>17</v>
      </c>
    </row>
    <row r="9" spans="2:22" ht="18.75" x14ac:dyDescent="0.25">
      <c r="B9" s="10">
        <v>2025</v>
      </c>
      <c r="C9" s="11">
        <f>SUM(Tabelle1[Erzeugt])</f>
        <v>0</v>
      </c>
      <c r="D9" s="11">
        <f>SUM(Tabelle1[Verbraucht])</f>
        <v>0</v>
      </c>
      <c r="E9" s="12" t="e">
        <f>Tabelle9[[#This Row],[Verbrauchter Strom]]/Tabelle9[[#This Row],[Erzeugte Strommenge]]</f>
        <v>#DIV/0!</v>
      </c>
      <c r="F9" s="13">
        <f>SUM(Tabelle1[Ersparnis])</f>
        <v>0</v>
      </c>
    </row>
    <row r="10" spans="2:22" ht="18.75" x14ac:dyDescent="0.25">
      <c r="B10" s="10">
        <v>2026</v>
      </c>
      <c r="C10" s="11">
        <f>SUM(Tabelle13[Erzeugt])</f>
        <v>0</v>
      </c>
      <c r="D10" s="11">
        <f>SUM(Tabelle13[Verbraucht])</f>
        <v>0</v>
      </c>
      <c r="E10" s="12" t="e">
        <f>Tabelle9[[#This Row],[Verbrauchter Strom]]/Tabelle9[[#This Row],[Erzeugte Strommenge]]</f>
        <v>#DIV/0!</v>
      </c>
      <c r="F10" s="13">
        <f>SUM(Tabelle13[Ersparnis])</f>
        <v>0</v>
      </c>
    </row>
    <row r="11" spans="2:22" ht="18.75" x14ac:dyDescent="0.25">
      <c r="B11" s="10">
        <v>2027</v>
      </c>
      <c r="C11" s="11">
        <f>SUM(Tabelle134[Erzeugt])</f>
        <v>0</v>
      </c>
      <c r="D11" s="11">
        <f>SUM(Tabelle134[Verbraucht])</f>
        <v>0</v>
      </c>
      <c r="E11" s="12" t="e">
        <f>Tabelle9[[#This Row],[Verbrauchter Strom]]/Tabelle9[[#This Row],[Erzeugte Strommenge]]</f>
        <v>#DIV/0!</v>
      </c>
      <c r="F11" s="13">
        <f>SUM(Tabelle134[Ersparnis])</f>
        <v>0</v>
      </c>
    </row>
    <row r="12" spans="2:22" ht="18.75" x14ac:dyDescent="0.25">
      <c r="B12" s="10">
        <v>2028</v>
      </c>
      <c r="C12" s="11">
        <f>SUM(Tabelle17[Erzeugt])</f>
        <v>0</v>
      </c>
      <c r="D12" s="11">
        <f>SUM(Tabelle17[Verbraucht])</f>
        <v>0</v>
      </c>
      <c r="E12" s="12" t="e">
        <f>Tabelle9[[#This Row],[Verbrauchter Strom]]/Tabelle9[[#This Row],[Erzeugte Strommenge]]</f>
        <v>#DIV/0!</v>
      </c>
      <c r="F12" s="13">
        <f>SUM(Tabelle17[Ersparnis])</f>
        <v>0</v>
      </c>
    </row>
    <row r="13" spans="2:22" ht="18.75" x14ac:dyDescent="0.25">
      <c r="B13" s="10">
        <v>2029</v>
      </c>
      <c r="C13" s="11">
        <f>SUM(Tabelle138[Erzeugt])</f>
        <v>0</v>
      </c>
      <c r="D13" s="11">
        <f>SUM(Tabelle138[Verbraucht])</f>
        <v>0</v>
      </c>
      <c r="E13" s="12" t="e">
        <f>Tabelle9[[#This Row],[Verbrauchter Strom]]/Tabelle9[[#This Row],[Erzeugte Strommenge]]</f>
        <v>#DIV/0!</v>
      </c>
      <c r="F13" s="13">
        <f>SUM(Tabelle138[Ersparnis])</f>
        <v>0</v>
      </c>
    </row>
    <row r="14" spans="2:22" ht="18.75" x14ac:dyDescent="0.25">
      <c r="B14" s="10">
        <v>2030</v>
      </c>
      <c r="C14" s="11">
        <f>SUM(Tabelle1349[Erzeugt])</f>
        <v>0</v>
      </c>
      <c r="D14" s="11">
        <f>SUM(Tabelle1349[Verbraucht])</f>
        <v>0</v>
      </c>
      <c r="E14" s="12" t="e">
        <f>Tabelle9[[#This Row],[Verbrauchter Strom]]/Tabelle9[[#This Row],[Erzeugte Strommenge]]</f>
        <v>#DIV/0!</v>
      </c>
      <c r="F14" s="13">
        <f>SUM(Tabelle1349[Ersparnis])</f>
        <v>0</v>
      </c>
    </row>
    <row r="15" spans="2:22" x14ac:dyDescent="0.25">
      <c r="B15" s="14"/>
      <c r="C15" s="14"/>
      <c r="D15" s="14"/>
      <c r="E15" s="14"/>
      <c r="F15" s="14"/>
    </row>
    <row r="16" spans="2:22" ht="21" x14ac:dyDescent="0.25">
      <c r="B16" s="15" t="s">
        <v>28</v>
      </c>
      <c r="C16" s="16">
        <f>SUM(Tabelle9[Erzeugte Strommenge])</f>
        <v>0</v>
      </c>
      <c r="D16" s="16">
        <f>SUM(Tabelle9[Verbrauchter Strom])</f>
        <v>0</v>
      </c>
      <c r="E16" s="17" t="e">
        <f>AVERAGE(Tabelle9[Eigenverbrauchsquote])</f>
        <v>#DIV/0!</v>
      </c>
      <c r="F16" s="18">
        <f>SUM(Tabelle9[Ersparnis])</f>
        <v>0</v>
      </c>
    </row>
    <row r="17" spans="2:6" x14ac:dyDescent="0.25">
      <c r="B17" s="14"/>
      <c r="C17" s="14"/>
      <c r="D17" s="14"/>
      <c r="E17" s="14"/>
      <c r="F17" s="14"/>
    </row>
    <row r="18" spans="2:6" x14ac:dyDescent="0.25">
      <c r="B18" s="14"/>
      <c r="C18" s="14"/>
      <c r="D18" s="14"/>
      <c r="E18" s="14"/>
      <c r="F18" s="14"/>
    </row>
    <row r="19" spans="2:6" x14ac:dyDescent="0.25">
      <c r="B19" s="14"/>
      <c r="C19" s="14"/>
      <c r="D19" s="14"/>
      <c r="E19" s="14"/>
      <c r="F19" s="14"/>
    </row>
    <row r="20" spans="2:6" ht="23.25" x14ac:dyDescent="0.25">
      <c r="B20" s="14"/>
      <c r="C20" s="19" t="s">
        <v>30</v>
      </c>
      <c r="D20" s="20">
        <f>F16-Anschaffungskosten!D20</f>
        <v>0</v>
      </c>
      <c r="E20" s="14"/>
      <c r="F20" s="14"/>
    </row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ht="6.95" customHeight="1" x14ac:dyDescent="0.25"/>
  </sheetData>
  <mergeCells count="1">
    <mergeCell ref="B2:V6"/>
  </mergeCells>
  <phoneticPr fontId="5" type="noConversion"/>
  <conditionalFormatting sqref="F16">
    <cfRule type="cellIs" dxfId="38" priority="4" operator="greaterThan">
      <formula>0</formula>
    </cfRule>
  </conditionalFormatting>
  <conditionalFormatting sqref="D20">
    <cfRule type="cellIs" dxfId="37" priority="3" operator="lessThan">
      <formula>0</formula>
    </cfRule>
    <cfRule type="cellIs" dxfId="36" priority="2" operator="greaterThan">
      <formula>0</formula>
    </cfRule>
    <cfRule type="cellIs" dxfId="35" priority="1" operator="lessThan">
      <formula>0</formula>
    </cfRule>
  </conditionalFormatting>
  <pageMargins left="0.7" right="0.7" top="0.75" bottom="0.75" header="0.3" footer="0.3"/>
  <pageSetup paperSize="158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5A10-BF4C-4750-B6E7-C5E0CB3B81A9}">
  <dimension ref="A1:V36"/>
  <sheetViews>
    <sheetView showGridLines="0" workbookViewId="0">
      <selection activeCell="C23" activeCellId="11" sqref="C6:D17 D2 K2 R2 D20 K20 R20 J6:K17 Q6:R17 Q24:R35 J24:K35 C23:D35"/>
    </sheetView>
  </sheetViews>
  <sheetFormatPr baseColWidth="10" defaultColWidth="0" defaultRowHeight="15" zeroHeight="1" x14ac:dyDescent="0.25"/>
  <cols>
    <col min="1" max="1" width="3.7109375" customWidth="1"/>
    <col min="2" max="2" width="10.85546875" bestFit="1" customWidth="1"/>
    <col min="3" max="5" width="13.7109375" customWidth="1"/>
    <col min="6" max="6" width="11.140625" customWidth="1"/>
    <col min="7" max="7" width="16.85546875" customWidth="1"/>
    <col min="8" max="8" width="4.7109375" customWidth="1"/>
    <col min="9" max="9" width="10.85546875" bestFit="1" customWidth="1"/>
    <col min="10" max="12" width="13.7109375" customWidth="1"/>
    <col min="13" max="13" width="11.28515625" bestFit="1" customWidth="1"/>
    <col min="14" max="14" width="18" bestFit="1" customWidth="1"/>
    <col min="15" max="15" width="4.7109375" customWidth="1"/>
    <col min="16" max="16" width="10.85546875" bestFit="1" customWidth="1"/>
    <col min="17" max="19" width="13.7109375" customWidth="1"/>
    <col min="20" max="20" width="11.28515625" bestFit="1" customWidth="1"/>
    <col min="21" max="21" width="17" bestFit="1" customWidth="1"/>
    <col min="22" max="22" width="3.7109375" customWidth="1"/>
    <col min="23" max="16384" width="11.42578125" hidden="1"/>
  </cols>
  <sheetData>
    <row r="1" spans="2:21" ht="6.95" customHeight="1" x14ac:dyDescent="0.25"/>
    <row r="2" spans="2:21" ht="15.75" x14ac:dyDescent="0.25">
      <c r="B2" s="25" t="s">
        <v>19</v>
      </c>
      <c r="C2" s="25"/>
      <c r="D2" s="30"/>
      <c r="I2" s="25" t="s">
        <v>19</v>
      </c>
      <c r="J2" s="25"/>
      <c r="K2" s="30"/>
      <c r="P2" s="25" t="s">
        <v>19</v>
      </c>
      <c r="Q2" s="25"/>
      <c r="R2" s="30"/>
    </row>
    <row r="3" spans="2:21" ht="6.95" customHeight="1" x14ac:dyDescent="0.25"/>
    <row r="4" spans="2:21" ht="21" x14ac:dyDescent="0.25">
      <c r="B4" s="22">
        <v>2025</v>
      </c>
      <c r="C4" s="23"/>
      <c r="D4" s="23"/>
      <c r="E4" s="23"/>
      <c r="F4" s="23"/>
      <c r="G4" s="24"/>
      <c r="I4" s="22">
        <v>2026</v>
      </c>
      <c r="J4" s="23"/>
      <c r="K4" s="23"/>
      <c r="L4" s="23"/>
      <c r="M4" s="23"/>
      <c r="N4" s="24"/>
      <c r="P4" s="22">
        <v>2027</v>
      </c>
      <c r="Q4" s="23"/>
      <c r="R4" s="23"/>
      <c r="S4" s="23"/>
      <c r="T4" s="23"/>
      <c r="U4" s="24"/>
    </row>
    <row r="5" spans="2:21" x14ac:dyDescent="0.25">
      <c r="B5" t="s">
        <v>1</v>
      </c>
      <c r="C5" t="s">
        <v>2</v>
      </c>
      <c r="D5" t="s">
        <v>4</v>
      </c>
      <c r="E5" t="s">
        <v>3</v>
      </c>
      <c r="F5" t="s">
        <v>17</v>
      </c>
      <c r="G5" t="s">
        <v>18</v>
      </c>
      <c r="I5" t="s">
        <v>1</v>
      </c>
      <c r="J5" t="s">
        <v>2</v>
      </c>
      <c r="K5" t="s">
        <v>4</v>
      </c>
      <c r="L5" t="s">
        <v>3</v>
      </c>
      <c r="M5" t="s">
        <v>17</v>
      </c>
      <c r="N5" t="s">
        <v>18</v>
      </c>
      <c r="P5" t="s">
        <v>1</v>
      </c>
      <c r="Q5" t="s">
        <v>2</v>
      </c>
      <c r="R5" t="s">
        <v>4</v>
      </c>
      <c r="S5" t="s">
        <v>3</v>
      </c>
      <c r="T5" t="s">
        <v>17</v>
      </c>
      <c r="U5" t="s">
        <v>18</v>
      </c>
    </row>
    <row r="6" spans="2:21" x14ac:dyDescent="0.25">
      <c r="B6" t="s">
        <v>5</v>
      </c>
      <c r="C6" s="29">
        <v>0</v>
      </c>
      <c r="D6" s="29">
        <v>0</v>
      </c>
      <c r="E6" s="1">
        <f>Tabelle1[[#This Row],[Erzeugt]]-Tabelle1[[#This Row],[Eingespeist]]</f>
        <v>0</v>
      </c>
      <c r="F6" s="2">
        <f>Tabelle1[[#This Row],[Verbraucht]]*$D$2</f>
        <v>0</v>
      </c>
      <c r="G6" s="5" t="e">
        <f>Tabelle1[[#This Row],[Verbraucht]]/Tabelle1[[#This Row],[Erzeugt]]</f>
        <v>#DIV/0!</v>
      </c>
      <c r="I6" t="s">
        <v>5</v>
      </c>
      <c r="J6" s="29">
        <v>0</v>
      </c>
      <c r="K6" s="29">
        <v>0</v>
      </c>
      <c r="L6" s="1">
        <f>Tabelle13[[#This Row],[Erzeugt]]-Tabelle13[[#This Row],[Eingespeist]]</f>
        <v>0</v>
      </c>
      <c r="M6" s="2">
        <f>Tabelle13[[#This Row],[Verbraucht]]*$K$2</f>
        <v>0</v>
      </c>
      <c r="N6" s="3" t="e">
        <f>Tabelle13[[#This Row],[Verbraucht]]/Tabelle13[[#This Row],[Erzeugt]]</f>
        <v>#DIV/0!</v>
      </c>
      <c r="P6" t="s">
        <v>5</v>
      </c>
      <c r="Q6" s="29">
        <v>0</v>
      </c>
      <c r="R6" s="29">
        <v>0</v>
      </c>
      <c r="S6" s="1">
        <f>Tabelle134[[#This Row],[Erzeugt]]-Tabelle134[[#This Row],[Eingespeist]]</f>
        <v>0</v>
      </c>
      <c r="T6" s="2">
        <f>Tabelle134[[#This Row],[Verbraucht]]*$R$2</f>
        <v>0</v>
      </c>
      <c r="U6" s="3" t="e">
        <f>Tabelle134[[#This Row],[Verbraucht]]/Tabelle134[[#This Row],[Erzeugt]]</f>
        <v>#DIV/0!</v>
      </c>
    </row>
    <row r="7" spans="2:21" x14ac:dyDescent="0.25">
      <c r="B7" t="s">
        <v>6</v>
      </c>
      <c r="C7" s="29">
        <v>0</v>
      </c>
      <c r="D7" s="29">
        <v>0</v>
      </c>
      <c r="E7" s="1">
        <f>Tabelle1[[#This Row],[Erzeugt]]-Tabelle1[[#This Row],[Eingespeist]]</f>
        <v>0</v>
      </c>
      <c r="F7" s="2">
        <f>Tabelle1[[#This Row],[Verbraucht]]*$D$2</f>
        <v>0</v>
      </c>
      <c r="G7" s="5" t="e">
        <f>Tabelle1[[#This Row],[Verbraucht]]/Tabelle1[[#This Row],[Erzeugt]]</f>
        <v>#DIV/0!</v>
      </c>
      <c r="I7" t="s">
        <v>6</v>
      </c>
      <c r="J7" s="29">
        <v>0</v>
      </c>
      <c r="K7" s="29">
        <v>0</v>
      </c>
      <c r="L7" s="1">
        <f>Tabelle13[[#This Row],[Erzeugt]]-Tabelle13[[#This Row],[Eingespeist]]</f>
        <v>0</v>
      </c>
      <c r="M7" s="2">
        <f>Tabelle13[[#This Row],[Verbraucht]]*$K$2</f>
        <v>0</v>
      </c>
      <c r="N7" s="3" t="e">
        <f>Tabelle13[[#This Row],[Verbraucht]]/Tabelle13[[#This Row],[Erzeugt]]</f>
        <v>#DIV/0!</v>
      </c>
      <c r="P7" t="s">
        <v>6</v>
      </c>
      <c r="Q7" s="29">
        <v>0</v>
      </c>
      <c r="R7" s="29">
        <v>0</v>
      </c>
      <c r="S7" s="1">
        <f>Tabelle134[[#This Row],[Erzeugt]]-Tabelle134[[#This Row],[Eingespeist]]</f>
        <v>0</v>
      </c>
      <c r="T7" s="2">
        <f>Tabelle134[[#This Row],[Verbraucht]]*$R$2</f>
        <v>0</v>
      </c>
      <c r="U7" s="3" t="e">
        <f>Tabelle134[[#This Row],[Verbraucht]]/Tabelle134[[#This Row],[Erzeugt]]</f>
        <v>#DIV/0!</v>
      </c>
    </row>
    <row r="8" spans="2:21" x14ac:dyDescent="0.25">
      <c r="B8" t="s">
        <v>7</v>
      </c>
      <c r="C8" s="29">
        <v>0</v>
      </c>
      <c r="D8" s="29">
        <v>0</v>
      </c>
      <c r="E8" s="1">
        <f>Tabelle1[[#This Row],[Erzeugt]]-Tabelle1[[#This Row],[Eingespeist]]</f>
        <v>0</v>
      </c>
      <c r="F8" s="2">
        <f>Tabelle1[[#This Row],[Verbraucht]]*$D$2</f>
        <v>0</v>
      </c>
      <c r="G8" s="5" t="e">
        <f>Tabelle1[[#This Row],[Verbraucht]]/Tabelle1[[#This Row],[Erzeugt]]</f>
        <v>#DIV/0!</v>
      </c>
      <c r="I8" t="s">
        <v>7</v>
      </c>
      <c r="J8" s="29">
        <v>0</v>
      </c>
      <c r="K8" s="29">
        <v>0</v>
      </c>
      <c r="L8" s="1">
        <f>Tabelle13[[#This Row],[Erzeugt]]-Tabelle13[[#This Row],[Eingespeist]]</f>
        <v>0</v>
      </c>
      <c r="M8" s="2">
        <f>Tabelle13[[#This Row],[Verbraucht]]*$K$2</f>
        <v>0</v>
      </c>
      <c r="N8" s="3" t="e">
        <f>Tabelle13[[#This Row],[Verbraucht]]/Tabelle13[[#This Row],[Erzeugt]]</f>
        <v>#DIV/0!</v>
      </c>
      <c r="P8" t="s">
        <v>7</v>
      </c>
      <c r="Q8" s="29">
        <v>0</v>
      </c>
      <c r="R8" s="29">
        <v>0</v>
      </c>
      <c r="S8" s="1">
        <f>Tabelle134[[#This Row],[Erzeugt]]-Tabelle134[[#This Row],[Eingespeist]]</f>
        <v>0</v>
      </c>
      <c r="T8" s="2">
        <f>Tabelle134[[#This Row],[Verbraucht]]*$R$2</f>
        <v>0</v>
      </c>
      <c r="U8" s="3" t="e">
        <f>Tabelle134[[#This Row],[Verbraucht]]/Tabelle134[[#This Row],[Erzeugt]]</f>
        <v>#DIV/0!</v>
      </c>
    </row>
    <row r="9" spans="2:21" x14ac:dyDescent="0.25">
      <c r="B9" t="s">
        <v>8</v>
      </c>
      <c r="C9" s="29">
        <v>0</v>
      </c>
      <c r="D9" s="29">
        <v>0</v>
      </c>
      <c r="E9" s="1">
        <f>Tabelle1[[#This Row],[Erzeugt]]-Tabelle1[[#This Row],[Eingespeist]]</f>
        <v>0</v>
      </c>
      <c r="F9" s="2">
        <f>Tabelle1[[#This Row],[Verbraucht]]*$D$2</f>
        <v>0</v>
      </c>
      <c r="G9" s="5" t="e">
        <f>Tabelle1[[#This Row],[Verbraucht]]/Tabelle1[[#This Row],[Erzeugt]]</f>
        <v>#DIV/0!</v>
      </c>
      <c r="I9" t="s">
        <v>8</v>
      </c>
      <c r="J9" s="29">
        <v>0</v>
      </c>
      <c r="K9" s="29">
        <v>0</v>
      </c>
      <c r="L9" s="1">
        <f>Tabelle13[[#This Row],[Erzeugt]]-Tabelle13[[#This Row],[Eingespeist]]</f>
        <v>0</v>
      </c>
      <c r="M9" s="2">
        <f>Tabelle13[[#This Row],[Verbraucht]]*$K$2</f>
        <v>0</v>
      </c>
      <c r="N9" s="3" t="e">
        <f>Tabelle13[[#This Row],[Verbraucht]]/Tabelle13[[#This Row],[Erzeugt]]</f>
        <v>#DIV/0!</v>
      </c>
      <c r="P9" t="s">
        <v>8</v>
      </c>
      <c r="Q9" s="29">
        <v>0</v>
      </c>
      <c r="R9" s="29">
        <v>0</v>
      </c>
      <c r="S9" s="1">
        <f>Tabelle134[[#This Row],[Erzeugt]]-Tabelle134[[#This Row],[Eingespeist]]</f>
        <v>0</v>
      </c>
      <c r="T9" s="2">
        <f>Tabelle134[[#This Row],[Verbraucht]]*$R$2</f>
        <v>0</v>
      </c>
      <c r="U9" s="3" t="e">
        <f>Tabelle134[[#This Row],[Verbraucht]]/Tabelle134[[#This Row],[Erzeugt]]</f>
        <v>#DIV/0!</v>
      </c>
    </row>
    <row r="10" spans="2:21" x14ac:dyDescent="0.25">
      <c r="B10" t="s">
        <v>9</v>
      </c>
      <c r="C10" s="29">
        <v>0</v>
      </c>
      <c r="D10" s="29">
        <v>0</v>
      </c>
      <c r="E10" s="1">
        <f>Tabelle1[[#This Row],[Erzeugt]]-Tabelle1[[#This Row],[Eingespeist]]</f>
        <v>0</v>
      </c>
      <c r="F10" s="2">
        <f>Tabelle1[[#This Row],[Verbraucht]]*$D$2</f>
        <v>0</v>
      </c>
      <c r="G10" s="5" t="e">
        <f>Tabelle1[[#This Row],[Verbraucht]]/Tabelle1[[#This Row],[Erzeugt]]</f>
        <v>#DIV/0!</v>
      </c>
      <c r="I10" t="s">
        <v>9</v>
      </c>
      <c r="J10" s="29">
        <v>0</v>
      </c>
      <c r="K10" s="29">
        <v>0</v>
      </c>
      <c r="L10" s="1">
        <f>Tabelle13[[#This Row],[Erzeugt]]-Tabelle13[[#This Row],[Eingespeist]]</f>
        <v>0</v>
      </c>
      <c r="M10" s="2">
        <f>Tabelle13[[#This Row],[Verbraucht]]*$K$2</f>
        <v>0</v>
      </c>
      <c r="N10" s="3" t="e">
        <f>Tabelle13[[#This Row],[Verbraucht]]/Tabelle13[[#This Row],[Erzeugt]]</f>
        <v>#DIV/0!</v>
      </c>
      <c r="P10" t="s">
        <v>9</v>
      </c>
      <c r="Q10" s="29">
        <v>0</v>
      </c>
      <c r="R10" s="29">
        <v>0</v>
      </c>
      <c r="S10" s="1">
        <f>Tabelle134[[#This Row],[Erzeugt]]-Tabelle134[[#This Row],[Eingespeist]]</f>
        <v>0</v>
      </c>
      <c r="T10" s="2">
        <f>Tabelle134[[#This Row],[Verbraucht]]*$R$2</f>
        <v>0</v>
      </c>
      <c r="U10" s="3" t="e">
        <f>Tabelle134[[#This Row],[Verbraucht]]/Tabelle134[[#This Row],[Erzeugt]]</f>
        <v>#DIV/0!</v>
      </c>
    </row>
    <row r="11" spans="2:21" x14ac:dyDescent="0.25">
      <c r="B11" t="s">
        <v>10</v>
      </c>
      <c r="C11" s="29">
        <v>0</v>
      </c>
      <c r="D11" s="29">
        <v>0</v>
      </c>
      <c r="E11" s="1">
        <f>Tabelle1[[#This Row],[Erzeugt]]-Tabelle1[[#This Row],[Eingespeist]]</f>
        <v>0</v>
      </c>
      <c r="F11" s="2">
        <f>Tabelle1[[#This Row],[Verbraucht]]*$D$2</f>
        <v>0</v>
      </c>
      <c r="G11" s="5" t="e">
        <f>Tabelle1[[#This Row],[Verbraucht]]/Tabelle1[[#This Row],[Erzeugt]]</f>
        <v>#DIV/0!</v>
      </c>
      <c r="I11" t="s">
        <v>10</v>
      </c>
      <c r="J11" s="29">
        <v>0</v>
      </c>
      <c r="K11" s="29">
        <v>0</v>
      </c>
      <c r="L11" s="1">
        <f>Tabelle13[[#This Row],[Erzeugt]]-Tabelle13[[#This Row],[Eingespeist]]</f>
        <v>0</v>
      </c>
      <c r="M11" s="2">
        <f>Tabelle13[[#This Row],[Verbraucht]]*$K$2</f>
        <v>0</v>
      </c>
      <c r="N11" s="3" t="e">
        <f>Tabelle13[[#This Row],[Verbraucht]]/Tabelle13[[#This Row],[Erzeugt]]</f>
        <v>#DIV/0!</v>
      </c>
      <c r="P11" t="s">
        <v>10</v>
      </c>
      <c r="Q11" s="29">
        <v>0</v>
      </c>
      <c r="R11" s="29">
        <v>0</v>
      </c>
      <c r="S11" s="1">
        <f>Tabelle134[[#This Row],[Erzeugt]]-Tabelle134[[#This Row],[Eingespeist]]</f>
        <v>0</v>
      </c>
      <c r="T11" s="2">
        <f>Tabelle134[[#This Row],[Verbraucht]]*$R$2</f>
        <v>0</v>
      </c>
      <c r="U11" s="3" t="e">
        <f>Tabelle134[[#This Row],[Verbraucht]]/Tabelle134[[#This Row],[Erzeugt]]</f>
        <v>#DIV/0!</v>
      </c>
    </row>
    <row r="12" spans="2:21" x14ac:dyDescent="0.25">
      <c r="B12" t="s">
        <v>11</v>
      </c>
      <c r="C12" s="29">
        <v>0</v>
      </c>
      <c r="D12" s="29">
        <v>0</v>
      </c>
      <c r="E12" s="1">
        <f>Tabelle1[[#This Row],[Erzeugt]]-Tabelle1[[#This Row],[Eingespeist]]</f>
        <v>0</v>
      </c>
      <c r="F12" s="2">
        <f>Tabelle1[[#This Row],[Verbraucht]]*$D$2</f>
        <v>0</v>
      </c>
      <c r="G12" s="5" t="e">
        <f>Tabelle1[[#This Row],[Verbraucht]]/Tabelle1[[#This Row],[Erzeugt]]</f>
        <v>#DIV/0!</v>
      </c>
      <c r="I12" t="s">
        <v>11</v>
      </c>
      <c r="J12" s="29">
        <v>0</v>
      </c>
      <c r="K12" s="29">
        <v>0</v>
      </c>
      <c r="L12" s="1">
        <f>Tabelle13[[#This Row],[Erzeugt]]-Tabelle13[[#This Row],[Eingespeist]]</f>
        <v>0</v>
      </c>
      <c r="M12" s="2">
        <f>Tabelle13[[#This Row],[Verbraucht]]*$K$2</f>
        <v>0</v>
      </c>
      <c r="N12" s="3" t="e">
        <f>Tabelle13[[#This Row],[Verbraucht]]/Tabelle13[[#This Row],[Erzeugt]]</f>
        <v>#DIV/0!</v>
      </c>
      <c r="P12" t="s">
        <v>11</v>
      </c>
      <c r="Q12" s="29">
        <v>0</v>
      </c>
      <c r="R12" s="29">
        <v>0</v>
      </c>
      <c r="S12" s="1">
        <f>Tabelle134[[#This Row],[Erzeugt]]-Tabelle134[[#This Row],[Eingespeist]]</f>
        <v>0</v>
      </c>
      <c r="T12" s="2">
        <f>Tabelle134[[#This Row],[Verbraucht]]*$R$2</f>
        <v>0</v>
      </c>
      <c r="U12" s="3" t="e">
        <f>Tabelle134[[#This Row],[Verbraucht]]/Tabelle134[[#This Row],[Erzeugt]]</f>
        <v>#DIV/0!</v>
      </c>
    </row>
    <row r="13" spans="2:21" x14ac:dyDescent="0.25">
      <c r="B13" t="s">
        <v>12</v>
      </c>
      <c r="C13" s="29">
        <v>0</v>
      </c>
      <c r="D13" s="29">
        <v>0</v>
      </c>
      <c r="E13" s="1">
        <f>Tabelle1[[#This Row],[Erzeugt]]-Tabelle1[[#This Row],[Eingespeist]]</f>
        <v>0</v>
      </c>
      <c r="F13" s="2">
        <f>Tabelle1[[#This Row],[Verbraucht]]*$D$2</f>
        <v>0</v>
      </c>
      <c r="G13" s="5" t="e">
        <f>Tabelle1[[#This Row],[Verbraucht]]/Tabelle1[[#This Row],[Erzeugt]]</f>
        <v>#DIV/0!</v>
      </c>
      <c r="I13" t="s">
        <v>12</v>
      </c>
      <c r="J13" s="29">
        <v>0</v>
      </c>
      <c r="K13" s="29">
        <v>0</v>
      </c>
      <c r="L13" s="1">
        <f>Tabelle13[[#This Row],[Erzeugt]]-Tabelle13[[#This Row],[Eingespeist]]</f>
        <v>0</v>
      </c>
      <c r="M13" s="2">
        <f>Tabelle13[[#This Row],[Verbraucht]]*$K$2</f>
        <v>0</v>
      </c>
      <c r="N13" s="3" t="e">
        <f>Tabelle13[[#This Row],[Verbraucht]]/Tabelle13[[#This Row],[Erzeugt]]</f>
        <v>#DIV/0!</v>
      </c>
      <c r="P13" t="s">
        <v>12</v>
      </c>
      <c r="Q13" s="29">
        <v>0</v>
      </c>
      <c r="R13" s="29">
        <v>0</v>
      </c>
      <c r="S13" s="1">
        <f>Tabelle134[[#This Row],[Erzeugt]]-Tabelle134[[#This Row],[Eingespeist]]</f>
        <v>0</v>
      </c>
      <c r="T13" s="2">
        <f>Tabelle134[[#This Row],[Verbraucht]]*$R$2</f>
        <v>0</v>
      </c>
      <c r="U13" s="3" t="e">
        <f>Tabelle134[[#This Row],[Verbraucht]]/Tabelle134[[#This Row],[Erzeugt]]</f>
        <v>#DIV/0!</v>
      </c>
    </row>
    <row r="14" spans="2:21" x14ac:dyDescent="0.25">
      <c r="B14" t="s">
        <v>13</v>
      </c>
      <c r="C14" s="29">
        <v>0</v>
      </c>
      <c r="D14" s="29">
        <v>0</v>
      </c>
      <c r="E14" s="1">
        <f>Tabelle1[[#This Row],[Erzeugt]]-Tabelle1[[#This Row],[Eingespeist]]</f>
        <v>0</v>
      </c>
      <c r="F14" s="2">
        <f>Tabelle1[[#This Row],[Verbraucht]]*$D$2</f>
        <v>0</v>
      </c>
      <c r="G14" s="5" t="e">
        <f>Tabelle1[[#This Row],[Verbraucht]]/Tabelle1[[#This Row],[Erzeugt]]</f>
        <v>#DIV/0!</v>
      </c>
      <c r="I14" t="s">
        <v>13</v>
      </c>
      <c r="J14" s="29">
        <v>0</v>
      </c>
      <c r="K14" s="29">
        <v>0</v>
      </c>
      <c r="L14" s="1">
        <f>Tabelle13[[#This Row],[Erzeugt]]-Tabelle13[[#This Row],[Eingespeist]]</f>
        <v>0</v>
      </c>
      <c r="M14" s="2">
        <f>Tabelle13[[#This Row],[Verbraucht]]*$K$2</f>
        <v>0</v>
      </c>
      <c r="N14" s="3" t="e">
        <f>Tabelle13[[#This Row],[Verbraucht]]/Tabelle13[[#This Row],[Erzeugt]]</f>
        <v>#DIV/0!</v>
      </c>
      <c r="P14" t="s">
        <v>13</v>
      </c>
      <c r="Q14" s="29">
        <v>0</v>
      </c>
      <c r="R14" s="29">
        <v>0</v>
      </c>
      <c r="S14" s="1">
        <f>Tabelle134[[#This Row],[Erzeugt]]-Tabelle134[[#This Row],[Eingespeist]]</f>
        <v>0</v>
      </c>
      <c r="T14" s="2">
        <f>Tabelle134[[#This Row],[Verbraucht]]*$R$2</f>
        <v>0</v>
      </c>
      <c r="U14" s="3" t="e">
        <f>Tabelle134[[#This Row],[Verbraucht]]/Tabelle134[[#This Row],[Erzeugt]]</f>
        <v>#DIV/0!</v>
      </c>
    </row>
    <row r="15" spans="2:21" x14ac:dyDescent="0.25">
      <c r="B15" t="s">
        <v>14</v>
      </c>
      <c r="C15" s="29">
        <v>0</v>
      </c>
      <c r="D15" s="29">
        <v>0</v>
      </c>
      <c r="E15" s="1">
        <f>Tabelle1[[#This Row],[Erzeugt]]-Tabelle1[[#This Row],[Eingespeist]]</f>
        <v>0</v>
      </c>
      <c r="F15" s="2">
        <f>Tabelle1[[#This Row],[Verbraucht]]*$D$2</f>
        <v>0</v>
      </c>
      <c r="G15" s="5" t="e">
        <f>Tabelle1[[#This Row],[Verbraucht]]/Tabelle1[[#This Row],[Erzeugt]]</f>
        <v>#DIV/0!</v>
      </c>
      <c r="I15" t="s">
        <v>14</v>
      </c>
      <c r="J15" s="29">
        <v>0</v>
      </c>
      <c r="K15" s="29">
        <v>0</v>
      </c>
      <c r="L15" s="1">
        <f>Tabelle13[[#This Row],[Erzeugt]]-Tabelle13[[#This Row],[Eingespeist]]</f>
        <v>0</v>
      </c>
      <c r="M15" s="2">
        <f>Tabelle13[[#This Row],[Verbraucht]]*$K$2</f>
        <v>0</v>
      </c>
      <c r="N15" s="3" t="e">
        <f>Tabelle13[[#This Row],[Verbraucht]]/Tabelle13[[#This Row],[Erzeugt]]</f>
        <v>#DIV/0!</v>
      </c>
      <c r="P15" t="s">
        <v>14</v>
      </c>
      <c r="Q15" s="29">
        <v>0</v>
      </c>
      <c r="R15" s="29">
        <v>0</v>
      </c>
      <c r="S15" s="1">
        <f>Tabelle134[[#This Row],[Erzeugt]]-Tabelle134[[#This Row],[Eingespeist]]</f>
        <v>0</v>
      </c>
      <c r="T15" s="2">
        <f>Tabelle134[[#This Row],[Verbraucht]]*$R$2</f>
        <v>0</v>
      </c>
      <c r="U15" s="3" t="e">
        <f>Tabelle134[[#This Row],[Verbraucht]]/Tabelle134[[#This Row],[Erzeugt]]</f>
        <v>#DIV/0!</v>
      </c>
    </row>
    <row r="16" spans="2:21" x14ac:dyDescent="0.25">
      <c r="B16" t="s">
        <v>15</v>
      </c>
      <c r="C16" s="29">
        <v>0</v>
      </c>
      <c r="D16" s="29">
        <v>0</v>
      </c>
      <c r="E16" s="1">
        <f>Tabelle1[[#This Row],[Erzeugt]]-Tabelle1[[#This Row],[Eingespeist]]</f>
        <v>0</v>
      </c>
      <c r="F16" s="2">
        <f>Tabelle1[[#This Row],[Verbraucht]]*$D$2</f>
        <v>0</v>
      </c>
      <c r="G16" s="5" t="e">
        <f>Tabelle1[[#This Row],[Verbraucht]]/Tabelle1[[#This Row],[Erzeugt]]</f>
        <v>#DIV/0!</v>
      </c>
      <c r="I16" t="s">
        <v>15</v>
      </c>
      <c r="J16" s="29">
        <v>0</v>
      </c>
      <c r="K16" s="29">
        <v>0</v>
      </c>
      <c r="L16" s="1">
        <f>Tabelle13[[#This Row],[Erzeugt]]-Tabelle13[[#This Row],[Eingespeist]]</f>
        <v>0</v>
      </c>
      <c r="M16" s="2">
        <f>Tabelle13[[#This Row],[Verbraucht]]*$K$2</f>
        <v>0</v>
      </c>
      <c r="N16" s="3" t="e">
        <f>Tabelle13[[#This Row],[Verbraucht]]/Tabelle13[[#This Row],[Erzeugt]]</f>
        <v>#DIV/0!</v>
      </c>
      <c r="P16" t="s">
        <v>15</v>
      </c>
      <c r="Q16" s="29">
        <v>0</v>
      </c>
      <c r="R16" s="29">
        <v>0</v>
      </c>
      <c r="S16" s="1">
        <f>Tabelle134[[#This Row],[Erzeugt]]-Tabelle134[[#This Row],[Eingespeist]]</f>
        <v>0</v>
      </c>
      <c r="T16" s="2">
        <f>Tabelle134[[#This Row],[Verbraucht]]*$R$2</f>
        <v>0</v>
      </c>
      <c r="U16" s="3" t="e">
        <f>Tabelle134[[#This Row],[Verbraucht]]/Tabelle134[[#This Row],[Erzeugt]]</f>
        <v>#DIV/0!</v>
      </c>
    </row>
    <row r="17" spans="2:21" x14ac:dyDescent="0.25">
      <c r="B17" t="s">
        <v>16</v>
      </c>
      <c r="C17" s="29">
        <v>0</v>
      </c>
      <c r="D17" s="29">
        <v>0</v>
      </c>
      <c r="E17" s="1">
        <f>Tabelle1[[#This Row],[Erzeugt]]-Tabelle1[[#This Row],[Eingespeist]]</f>
        <v>0</v>
      </c>
      <c r="F17" s="2">
        <f>Tabelle1[[#This Row],[Verbraucht]]*$D$2</f>
        <v>0</v>
      </c>
      <c r="G17" s="5" t="e">
        <f>Tabelle1[[#This Row],[Verbraucht]]/Tabelle1[[#This Row],[Erzeugt]]</f>
        <v>#DIV/0!</v>
      </c>
      <c r="I17" t="s">
        <v>16</v>
      </c>
      <c r="J17" s="29">
        <v>0</v>
      </c>
      <c r="K17" s="29">
        <v>0</v>
      </c>
      <c r="L17" s="1">
        <f>Tabelle13[[#This Row],[Erzeugt]]-Tabelle13[[#This Row],[Eingespeist]]</f>
        <v>0</v>
      </c>
      <c r="M17" s="2">
        <f>Tabelle13[[#This Row],[Verbraucht]]*$K$2</f>
        <v>0</v>
      </c>
      <c r="N17" s="3" t="e">
        <f>Tabelle13[[#This Row],[Verbraucht]]/Tabelle13[[#This Row],[Erzeugt]]</f>
        <v>#DIV/0!</v>
      </c>
      <c r="P17" t="s">
        <v>16</v>
      </c>
      <c r="Q17" s="29">
        <v>0</v>
      </c>
      <c r="R17" s="29">
        <v>0</v>
      </c>
      <c r="S17" s="1">
        <f>Tabelle134[[#This Row],[Erzeugt]]-Tabelle134[[#This Row],[Eingespeist]]</f>
        <v>0</v>
      </c>
      <c r="T17" s="2">
        <f>Tabelle134[[#This Row],[Verbraucht]]*$R$2</f>
        <v>0</v>
      </c>
      <c r="U17" s="3" t="e">
        <f>Tabelle134[[#This Row],[Verbraucht]]/Tabelle134[[#This Row],[Erzeugt]]</f>
        <v>#DIV/0!</v>
      </c>
    </row>
    <row r="18" spans="2:21" ht="6.95" customHeight="1" x14ac:dyDescent="0.25">
      <c r="C18" s="1"/>
      <c r="D18" s="1"/>
      <c r="E18" s="1"/>
      <c r="F18" s="2"/>
      <c r="G18" s="5"/>
      <c r="J18" s="1"/>
      <c r="K18" s="1"/>
      <c r="L18" s="1"/>
      <c r="M18" s="2"/>
      <c r="N18" s="3"/>
      <c r="Q18" s="1"/>
      <c r="R18" s="1"/>
      <c r="S18" s="1"/>
      <c r="T18" s="2"/>
      <c r="U18" s="3"/>
    </row>
    <row r="19" spans="2:21" ht="6.95" customHeight="1" x14ac:dyDescent="0.25"/>
    <row r="20" spans="2:21" ht="15.75" x14ac:dyDescent="0.25">
      <c r="B20" s="25" t="s">
        <v>19</v>
      </c>
      <c r="C20" s="25"/>
      <c r="D20" s="30"/>
      <c r="I20" s="25" t="s">
        <v>19</v>
      </c>
      <c r="J20" s="25"/>
      <c r="K20" s="30"/>
      <c r="P20" s="25" t="s">
        <v>19</v>
      </c>
      <c r="Q20" s="25"/>
      <c r="R20" s="30"/>
    </row>
    <row r="21" spans="2:21" x14ac:dyDescent="0.25"/>
    <row r="22" spans="2:21" ht="21" x14ac:dyDescent="0.25">
      <c r="B22" s="22">
        <v>2028</v>
      </c>
      <c r="C22" s="23"/>
      <c r="D22" s="23"/>
      <c r="E22" s="23"/>
      <c r="F22" s="23"/>
      <c r="G22" s="24"/>
      <c r="I22" s="22">
        <v>2029</v>
      </c>
      <c r="J22" s="23"/>
      <c r="K22" s="23"/>
      <c r="L22" s="23"/>
      <c r="M22" s="23"/>
      <c r="N22" s="24"/>
      <c r="P22" s="22">
        <v>2030</v>
      </c>
      <c r="Q22" s="23"/>
      <c r="R22" s="23"/>
      <c r="S22" s="23"/>
      <c r="T22" s="23"/>
      <c r="U22" s="24"/>
    </row>
    <row r="23" spans="2:21" x14ac:dyDescent="0.25">
      <c r="B23" t="s">
        <v>1</v>
      </c>
      <c r="C23" s="31" t="s">
        <v>2</v>
      </c>
      <c r="D23" s="31" t="s">
        <v>4</v>
      </c>
      <c r="E23" t="s">
        <v>3</v>
      </c>
      <c r="F23" t="s">
        <v>17</v>
      </c>
      <c r="G23" t="s">
        <v>18</v>
      </c>
      <c r="I23" t="s">
        <v>1</v>
      </c>
      <c r="J23" t="s">
        <v>2</v>
      </c>
      <c r="K23" t="s">
        <v>4</v>
      </c>
      <c r="L23" t="s">
        <v>3</v>
      </c>
      <c r="M23" t="s">
        <v>17</v>
      </c>
      <c r="N23" t="s">
        <v>18</v>
      </c>
      <c r="P23" t="s">
        <v>1</v>
      </c>
      <c r="Q23" t="s">
        <v>2</v>
      </c>
      <c r="R23" t="s">
        <v>4</v>
      </c>
      <c r="S23" t="s">
        <v>3</v>
      </c>
      <c r="T23" t="s">
        <v>17</v>
      </c>
      <c r="U23" t="s">
        <v>18</v>
      </c>
    </row>
    <row r="24" spans="2:21" x14ac:dyDescent="0.25">
      <c r="B24" t="s">
        <v>5</v>
      </c>
      <c r="C24" s="29">
        <v>0</v>
      </c>
      <c r="D24" s="29">
        <v>0</v>
      </c>
      <c r="E24" s="1">
        <f>Tabelle17[[#This Row],[Erzeugt]]-Tabelle17[[#This Row],[Eingespeist]]</f>
        <v>0</v>
      </c>
      <c r="F24" s="2">
        <f>Tabelle17[[#This Row],[Verbraucht]]*$D$2</f>
        <v>0</v>
      </c>
      <c r="G24" s="5" t="e">
        <f>Tabelle17[[#This Row],[Verbraucht]]/Tabelle17[[#This Row],[Erzeugt]]</f>
        <v>#DIV/0!</v>
      </c>
      <c r="I24" t="s">
        <v>5</v>
      </c>
      <c r="J24" s="29">
        <v>0</v>
      </c>
      <c r="K24" s="29">
        <v>0</v>
      </c>
      <c r="L24" s="1">
        <f>Tabelle138[[#This Row],[Erzeugt]]-Tabelle138[[#This Row],[Eingespeist]]</f>
        <v>0</v>
      </c>
      <c r="M24" s="2">
        <f>Tabelle138[[#This Row],[Verbraucht]]*$K$2</f>
        <v>0</v>
      </c>
      <c r="N24" s="3" t="e">
        <f>Tabelle138[[#This Row],[Verbraucht]]/Tabelle138[[#This Row],[Erzeugt]]</f>
        <v>#DIV/0!</v>
      </c>
      <c r="P24" t="s">
        <v>5</v>
      </c>
      <c r="Q24" s="29">
        <v>0</v>
      </c>
      <c r="R24" s="29">
        <v>0</v>
      </c>
      <c r="S24" s="1">
        <f>Tabelle1349[[#This Row],[Erzeugt]]-Tabelle1349[[#This Row],[Eingespeist]]</f>
        <v>0</v>
      </c>
      <c r="T24" s="2">
        <f>Tabelle1349[[#This Row],[Verbraucht]]*$R$2</f>
        <v>0</v>
      </c>
      <c r="U24" s="3" t="e">
        <f>Tabelle1349[[#This Row],[Verbraucht]]/Tabelle1349[[#This Row],[Erzeugt]]</f>
        <v>#DIV/0!</v>
      </c>
    </row>
    <row r="25" spans="2:21" x14ac:dyDescent="0.25">
      <c r="B25" t="s">
        <v>6</v>
      </c>
      <c r="C25" s="29">
        <v>0</v>
      </c>
      <c r="D25" s="29">
        <v>0</v>
      </c>
      <c r="E25" s="1">
        <f>Tabelle17[[#This Row],[Erzeugt]]-Tabelle17[[#This Row],[Eingespeist]]</f>
        <v>0</v>
      </c>
      <c r="F25" s="2">
        <f>Tabelle17[[#This Row],[Verbraucht]]*$D$2</f>
        <v>0</v>
      </c>
      <c r="G25" s="5" t="e">
        <f>Tabelle17[[#This Row],[Verbraucht]]/Tabelle17[[#This Row],[Erzeugt]]</f>
        <v>#DIV/0!</v>
      </c>
      <c r="I25" t="s">
        <v>6</v>
      </c>
      <c r="J25" s="29">
        <v>0</v>
      </c>
      <c r="K25" s="29">
        <v>0</v>
      </c>
      <c r="L25" s="1">
        <f>Tabelle138[[#This Row],[Erzeugt]]-Tabelle138[[#This Row],[Eingespeist]]</f>
        <v>0</v>
      </c>
      <c r="M25" s="2">
        <f>Tabelle138[[#This Row],[Verbraucht]]*$K$2</f>
        <v>0</v>
      </c>
      <c r="N25" s="3" t="e">
        <f>Tabelle138[[#This Row],[Verbraucht]]/Tabelle138[[#This Row],[Erzeugt]]</f>
        <v>#DIV/0!</v>
      </c>
      <c r="P25" t="s">
        <v>6</v>
      </c>
      <c r="Q25" s="29">
        <v>0</v>
      </c>
      <c r="R25" s="29">
        <v>0</v>
      </c>
      <c r="S25" s="1">
        <f>Tabelle1349[[#This Row],[Erzeugt]]-Tabelle1349[[#This Row],[Eingespeist]]</f>
        <v>0</v>
      </c>
      <c r="T25" s="2">
        <f>Tabelle1349[[#This Row],[Verbraucht]]*$R$2</f>
        <v>0</v>
      </c>
      <c r="U25" s="3" t="e">
        <f>Tabelle1349[[#This Row],[Verbraucht]]/Tabelle1349[[#This Row],[Erzeugt]]</f>
        <v>#DIV/0!</v>
      </c>
    </row>
    <row r="26" spans="2:21" x14ac:dyDescent="0.25">
      <c r="B26" t="s">
        <v>7</v>
      </c>
      <c r="C26" s="29">
        <v>0</v>
      </c>
      <c r="D26" s="29">
        <v>0</v>
      </c>
      <c r="E26" s="1">
        <f>Tabelle17[[#This Row],[Erzeugt]]-Tabelle17[[#This Row],[Eingespeist]]</f>
        <v>0</v>
      </c>
      <c r="F26" s="2">
        <f>Tabelle17[[#This Row],[Verbraucht]]*$D$2</f>
        <v>0</v>
      </c>
      <c r="G26" s="5" t="e">
        <f>Tabelle17[[#This Row],[Verbraucht]]/Tabelle17[[#This Row],[Erzeugt]]</f>
        <v>#DIV/0!</v>
      </c>
      <c r="I26" t="s">
        <v>7</v>
      </c>
      <c r="J26" s="29">
        <v>0</v>
      </c>
      <c r="K26" s="29">
        <v>0</v>
      </c>
      <c r="L26" s="1">
        <f>Tabelle138[[#This Row],[Erzeugt]]-Tabelle138[[#This Row],[Eingespeist]]</f>
        <v>0</v>
      </c>
      <c r="M26" s="2">
        <f>Tabelle138[[#This Row],[Verbraucht]]*$K$2</f>
        <v>0</v>
      </c>
      <c r="N26" s="3" t="e">
        <f>Tabelle138[[#This Row],[Verbraucht]]/Tabelle138[[#This Row],[Erzeugt]]</f>
        <v>#DIV/0!</v>
      </c>
      <c r="P26" t="s">
        <v>7</v>
      </c>
      <c r="Q26" s="29">
        <v>0</v>
      </c>
      <c r="R26" s="29">
        <v>0</v>
      </c>
      <c r="S26" s="1">
        <f>Tabelle1349[[#This Row],[Erzeugt]]-Tabelle1349[[#This Row],[Eingespeist]]</f>
        <v>0</v>
      </c>
      <c r="T26" s="2">
        <f>Tabelle1349[[#This Row],[Verbraucht]]*$R$2</f>
        <v>0</v>
      </c>
      <c r="U26" s="3" t="e">
        <f>Tabelle1349[[#This Row],[Verbraucht]]/Tabelle1349[[#This Row],[Erzeugt]]</f>
        <v>#DIV/0!</v>
      </c>
    </row>
    <row r="27" spans="2:21" x14ac:dyDescent="0.25">
      <c r="B27" t="s">
        <v>8</v>
      </c>
      <c r="C27" s="29">
        <v>0</v>
      </c>
      <c r="D27" s="29">
        <v>0</v>
      </c>
      <c r="E27" s="1">
        <f>Tabelle17[[#This Row],[Erzeugt]]-Tabelle17[[#This Row],[Eingespeist]]</f>
        <v>0</v>
      </c>
      <c r="F27" s="2">
        <f>Tabelle17[[#This Row],[Verbraucht]]*$D$2</f>
        <v>0</v>
      </c>
      <c r="G27" s="5" t="e">
        <f>Tabelle17[[#This Row],[Verbraucht]]/Tabelle17[[#This Row],[Erzeugt]]</f>
        <v>#DIV/0!</v>
      </c>
      <c r="I27" t="s">
        <v>8</v>
      </c>
      <c r="J27" s="29">
        <v>0</v>
      </c>
      <c r="K27" s="29">
        <v>0</v>
      </c>
      <c r="L27" s="1">
        <f>Tabelle138[[#This Row],[Erzeugt]]-Tabelle138[[#This Row],[Eingespeist]]</f>
        <v>0</v>
      </c>
      <c r="M27" s="2">
        <f>Tabelle138[[#This Row],[Verbraucht]]*$K$2</f>
        <v>0</v>
      </c>
      <c r="N27" s="3" t="e">
        <f>Tabelle138[[#This Row],[Verbraucht]]/Tabelle138[[#This Row],[Erzeugt]]</f>
        <v>#DIV/0!</v>
      </c>
      <c r="P27" t="s">
        <v>8</v>
      </c>
      <c r="Q27" s="29">
        <v>0</v>
      </c>
      <c r="R27" s="29">
        <v>0</v>
      </c>
      <c r="S27" s="1">
        <f>Tabelle1349[[#This Row],[Erzeugt]]-Tabelle1349[[#This Row],[Eingespeist]]</f>
        <v>0</v>
      </c>
      <c r="T27" s="2">
        <f>Tabelle1349[[#This Row],[Verbraucht]]*$R$2</f>
        <v>0</v>
      </c>
      <c r="U27" s="3" t="e">
        <f>Tabelle1349[[#This Row],[Verbraucht]]/Tabelle1349[[#This Row],[Erzeugt]]</f>
        <v>#DIV/0!</v>
      </c>
    </row>
    <row r="28" spans="2:21" x14ac:dyDescent="0.25">
      <c r="B28" t="s">
        <v>9</v>
      </c>
      <c r="C28" s="29">
        <v>0</v>
      </c>
      <c r="D28" s="29">
        <v>0</v>
      </c>
      <c r="E28" s="1">
        <f>Tabelle17[[#This Row],[Erzeugt]]-Tabelle17[[#This Row],[Eingespeist]]</f>
        <v>0</v>
      </c>
      <c r="F28" s="2">
        <f>Tabelle17[[#This Row],[Verbraucht]]*$D$2</f>
        <v>0</v>
      </c>
      <c r="G28" s="5" t="e">
        <f>Tabelle17[[#This Row],[Verbraucht]]/Tabelle17[[#This Row],[Erzeugt]]</f>
        <v>#DIV/0!</v>
      </c>
      <c r="I28" t="s">
        <v>9</v>
      </c>
      <c r="J28" s="29">
        <v>0</v>
      </c>
      <c r="K28" s="29">
        <v>0</v>
      </c>
      <c r="L28" s="1">
        <f>Tabelle138[[#This Row],[Erzeugt]]-Tabelle138[[#This Row],[Eingespeist]]</f>
        <v>0</v>
      </c>
      <c r="M28" s="2">
        <f>Tabelle138[[#This Row],[Verbraucht]]*$K$2</f>
        <v>0</v>
      </c>
      <c r="N28" s="3" t="e">
        <f>Tabelle138[[#This Row],[Verbraucht]]/Tabelle138[[#This Row],[Erzeugt]]</f>
        <v>#DIV/0!</v>
      </c>
      <c r="P28" t="s">
        <v>9</v>
      </c>
      <c r="Q28" s="29">
        <v>0</v>
      </c>
      <c r="R28" s="29">
        <v>0</v>
      </c>
      <c r="S28" s="1">
        <f>Tabelle1349[[#This Row],[Erzeugt]]-Tabelle1349[[#This Row],[Eingespeist]]</f>
        <v>0</v>
      </c>
      <c r="T28" s="2">
        <f>Tabelle1349[[#This Row],[Verbraucht]]*$R$2</f>
        <v>0</v>
      </c>
      <c r="U28" s="3" t="e">
        <f>Tabelle1349[[#This Row],[Verbraucht]]/Tabelle1349[[#This Row],[Erzeugt]]</f>
        <v>#DIV/0!</v>
      </c>
    </row>
    <row r="29" spans="2:21" x14ac:dyDescent="0.25">
      <c r="B29" t="s">
        <v>10</v>
      </c>
      <c r="C29" s="29">
        <v>0</v>
      </c>
      <c r="D29" s="29">
        <v>0</v>
      </c>
      <c r="E29" s="1">
        <f>Tabelle17[[#This Row],[Erzeugt]]-Tabelle17[[#This Row],[Eingespeist]]</f>
        <v>0</v>
      </c>
      <c r="F29" s="2">
        <f>Tabelle17[[#This Row],[Verbraucht]]*$D$2</f>
        <v>0</v>
      </c>
      <c r="G29" s="5" t="e">
        <f>Tabelle17[[#This Row],[Verbraucht]]/Tabelle17[[#This Row],[Erzeugt]]</f>
        <v>#DIV/0!</v>
      </c>
      <c r="I29" t="s">
        <v>10</v>
      </c>
      <c r="J29" s="29">
        <v>0</v>
      </c>
      <c r="K29" s="29">
        <v>0</v>
      </c>
      <c r="L29" s="1">
        <f>Tabelle138[[#This Row],[Erzeugt]]-Tabelle138[[#This Row],[Eingespeist]]</f>
        <v>0</v>
      </c>
      <c r="M29" s="2">
        <f>Tabelle138[[#This Row],[Verbraucht]]*$K$2</f>
        <v>0</v>
      </c>
      <c r="N29" s="3" t="e">
        <f>Tabelle138[[#This Row],[Verbraucht]]/Tabelle138[[#This Row],[Erzeugt]]</f>
        <v>#DIV/0!</v>
      </c>
      <c r="P29" t="s">
        <v>10</v>
      </c>
      <c r="Q29" s="29">
        <v>0</v>
      </c>
      <c r="R29" s="29">
        <v>0</v>
      </c>
      <c r="S29" s="1">
        <f>Tabelle1349[[#This Row],[Erzeugt]]-Tabelle1349[[#This Row],[Eingespeist]]</f>
        <v>0</v>
      </c>
      <c r="T29" s="2">
        <f>Tabelle1349[[#This Row],[Verbraucht]]*$R$2</f>
        <v>0</v>
      </c>
      <c r="U29" s="3" t="e">
        <f>Tabelle1349[[#This Row],[Verbraucht]]/Tabelle1349[[#This Row],[Erzeugt]]</f>
        <v>#DIV/0!</v>
      </c>
    </row>
    <row r="30" spans="2:21" x14ac:dyDescent="0.25">
      <c r="B30" t="s">
        <v>11</v>
      </c>
      <c r="C30" s="29">
        <v>0</v>
      </c>
      <c r="D30" s="29">
        <v>0</v>
      </c>
      <c r="E30" s="1">
        <f>Tabelle17[[#This Row],[Erzeugt]]-Tabelle17[[#This Row],[Eingespeist]]</f>
        <v>0</v>
      </c>
      <c r="F30" s="2">
        <f>Tabelle17[[#This Row],[Verbraucht]]*$D$2</f>
        <v>0</v>
      </c>
      <c r="G30" s="5" t="e">
        <f>Tabelle17[[#This Row],[Verbraucht]]/Tabelle17[[#This Row],[Erzeugt]]</f>
        <v>#DIV/0!</v>
      </c>
      <c r="I30" t="s">
        <v>11</v>
      </c>
      <c r="J30" s="29">
        <v>0</v>
      </c>
      <c r="K30" s="29">
        <v>0</v>
      </c>
      <c r="L30" s="1">
        <f>Tabelle138[[#This Row],[Erzeugt]]-Tabelle138[[#This Row],[Eingespeist]]</f>
        <v>0</v>
      </c>
      <c r="M30" s="2">
        <f>Tabelle138[[#This Row],[Verbraucht]]*$K$2</f>
        <v>0</v>
      </c>
      <c r="N30" s="3" t="e">
        <f>Tabelle138[[#This Row],[Verbraucht]]/Tabelle138[[#This Row],[Erzeugt]]</f>
        <v>#DIV/0!</v>
      </c>
      <c r="P30" t="s">
        <v>11</v>
      </c>
      <c r="Q30" s="29">
        <v>0</v>
      </c>
      <c r="R30" s="29">
        <v>0</v>
      </c>
      <c r="S30" s="1">
        <f>Tabelle1349[[#This Row],[Erzeugt]]-Tabelle1349[[#This Row],[Eingespeist]]</f>
        <v>0</v>
      </c>
      <c r="T30" s="2">
        <f>Tabelle1349[[#This Row],[Verbraucht]]*$R$2</f>
        <v>0</v>
      </c>
      <c r="U30" s="3" t="e">
        <f>Tabelle1349[[#This Row],[Verbraucht]]/Tabelle1349[[#This Row],[Erzeugt]]</f>
        <v>#DIV/0!</v>
      </c>
    </row>
    <row r="31" spans="2:21" x14ac:dyDescent="0.25">
      <c r="B31" t="s">
        <v>12</v>
      </c>
      <c r="C31" s="29">
        <v>0</v>
      </c>
      <c r="D31" s="29">
        <v>0</v>
      </c>
      <c r="E31" s="1">
        <f>Tabelle17[[#This Row],[Erzeugt]]-Tabelle17[[#This Row],[Eingespeist]]</f>
        <v>0</v>
      </c>
      <c r="F31" s="2">
        <f>Tabelle17[[#This Row],[Verbraucht]]*$D$2</f>
        <v>0</v>
      </c>
      <c r="G31" s="5" t="e">
        <f>Tabelle17[[#This Row],[Verbraucht]]/Tabelle17[[#This Row],[Erzeugt]]</f>
        <v>#DIV/0!</v>
      </c>
      <c r="I31" t="s">
        <v>12</v>
      </c>
      <c r="J31" s="29">
        <v>0</v>
      </c>
      <c r="K31" s="29">
        <v>0</v>
      </c>
      <c r="L31" s="1">
        <f>Tabelle138[[#This Row],[Erzeugt]]-Tabelle138[[#This Row],[Eingespeist]]</f>
        <v>0</v>
      </c>
      <c r="M31" s="2">
        <f>Tabelle138[[#This Row],[Verbraucht]]*$K$2</f>
        <v>0</v>
      </c>
      <c r="N31" s="3" t="e">
        <f>Tabelle138[[#This Row],[Verbraucht]]/Tabelle138[[#This Row],[Erzeugt]]</f>
        <v>#DIV/0!</v>
      </c>
      <c r="P31" t="s">
        <v>12</v>
      </c>
      <c r="Q31" s="29">
        <v>0</v>
      </c>
      <c r="R31" s="29">
        <v>0</v>
      </c>
      <c r="S31" s="1">
        <f>Tabelle1349[[#This Row],[Erzeugt]]-Tabelle1349[[#This Row],[Eingespeist]]</f>
        <v>0</v>
      </c>
      <c r="T31" s="2">
        <f>Tabelle1349[[#This Row],[Verbraucht]]*$R$2</f>
        <v>0</v>
      </c>
      <c r="U31" s="3" t="e">
        <f>Tabelle1349[[#This Row],[Verbraucht]]/Tabelle1349[[#This Row],[Erzeugt]]</f>
        <v>#DIV/0!</v>
      </c>
    </row>
    <row r="32" spans="2:21" x14ac:dyDescent="0.25">
      <c r="B32" t="s">
        <v>13</v>
      </c>
      <c r="C32" s="29">
        <v>0</v>
      </c>
      <c r="D32" s="29">
        <v>0</v>
      </c>
      <c r="E32" s="1">
        <f>Tabelle17[[#This Row],[Erzeugt]]-Tabelle17[[#This Row],[Eingespeist]]</f>
        <v>0</v>
      </c>
      <c r="F32" s="2">
        <f>Tabelle17[[#This Row],[Verbraucht]]*$D$2</f>
        <v>0</v>
      </c>
      <c r="G32" s="5" t="e">
        <f>Tabelle17[[#This Row],[Verbraucht]]/Tabelle17[[#This Row],[Erzeugt]]</f>
        <v>#DIV/0!</v>
      </c>
      <c r="I32" t="s">
        <v>13</v>
      </c>
      <c r="J32" s="29">
        <v>0</v>
      </c>
      <c r="K32" s="29">
        <v>0</v>
      </c>
      <c r="L32" s="1">
        <f>Tabelle138[[#This Row],[Erzeugt]]-Tabelle138[[#This Row],[Eingespeist]]</f>
        <v>0</v>
      </c>
      <c r="M32" s="2">
        <f>Tabelle138[[#This Row],[Verbraucht]]*$K$2</f>
        <v>0</v>
      </c>
      <c r="N32" s="3" t="e">
        <f>Tabelle138[[#This Row],[Verbraucht]]/Tabelle138[[#This Row],[Erzeugt]]</f>
        <v>#DIV/0!</v>
      </c>
      <c r="P32" t="s">
        <v>13</v>
      </c>
      <c r="Q32" s="29">
        <v>0</v>
      </c>
      <c r="R32" s="29">
        <v>0</v>
      </c>
      <c r="S32" s="1">
        <f>Tabelle1349[[#This Row],[Erzeugt]]-Tabelle1349[[#This Row],[Eingespeist]]</f>
        <v>0</v>
      </c>
      <c r="T32" s="2">
        <f>Tabelle1349[[#This Row],[Verbraucht]]*$R$2</f>
        <v>0</v>
      </c>
      <c r="U32" s="3" t="e">
        <f>Tabelle1349[[#This Row],[Verbraucht]]/Tabelle1349[[#This Row],[Erzeugt]]</f>
        <v>#DIV/0!</v>
      </c>
    </row>
    <row r="33" spans="2:21" x14ac:dyDescent="0.25">
      <c r="B33" t="s">
        <v>14</v>
      </c>
      <c r="C33" s="29">
        <v>0</v>
      </c>
      <c r="D33" s="29">
        <v>0</v>
      </c>
      <c r="E33" s="1">
        <f>Tabelle17[[#This Row],[Erzeugt]]-Tabelle17[[#This Row],[Eingespeist]]</f>
        <v>0</v>
      </c>
      <c r="F33" s="2">
        <f>Tabelle17[[#This Row],[Verbraucht]]*$D$2</f>
        <v>0</v>
      </c>
      <c r="G33" s="5" t="e">
        <f>Tabelle17[[#This Row],[Verbraucht]]/Tabelle17[[#This Row],[Erzeugt]]</f>
        <v>#DIV/0!</v>
      </c>
      <c r="I33" t="s">
        <v>14</v>
      </c>
      <c r="J33" s="29">
        <v>0</v>
      </c>
      <c r="K33" s="29">
        <v>0</v>
      </c>
      <c r="L33" s="1">
        <f>Tabelle138[[#This Row],[Erzeugt]]-Tabelle138[[#This Row],[Eingespeist]]</f>
        <v>0</v>
      </c>
      <c r="M33" s="2">
        <f>Tabelle138[[#This Row],[Verbraucht]]*$K$2</f>
        <v>0</v>
      </c>
      <c r="N33" s="3" t="e">
        <f>Tabelle138[[#This Row],[Verbraucht]]/Tabelle138[[#This Row],[Erzeugt]]</f>
        <v>#DIV/0!</v>
      </c>
      <c r="P33" t="s">
        <v>14</v>
      </c>
      <c r="Q33" s="29">
        <v>0</v>
      </c>
      <c r="R33" s="29">
        <v>0</v>
      </c>
      <c r="S33" s="1">
        <f>Tabelle1349[[#This Row],[Erzeugt]]-Tabelle1349[[#This Row],[Eingespeist]]</f>
        <v>0</v>
      </c>
      <c r="T33" s="2">
        <f>Tabelle1349[[#This Row],[Verbraucht]]*$R$2</f>
        <v>0</v>
      </c>
      <c r="U33" s="3" t="e">
        <f>Tabelle1349[[#This Row],[Verbraucht]]/Tabelle1349[[#This Row],[Erzeugt]]</f>
        <v>#DIV/0!</v>
      </c>
    </row>
    <row r="34" spans="2:21" x14ac:dyDescent="0.25">
      <c r="B34" t="s">
        <v>15</v>
      </c>
      <c r="C34" s="29">
        <v>0</v>
      </c>
      <c r="D34" s="29">
        <v>0</v>
      </c>
      <c r="E34" s="1">
        <f>Tabelle17[[#This Row],[Erzeugt]]-Tabelle17[[#This Row],[Eingespeist]]</f>
        <v>0</v>
      </c>
      <c r="F34" s="2">
        <f>Tabelle17[[#This Row],[Verbraucht]]*$D$2</f>
        <v>0</v>
      </c>
      <c r="G34" s="5" t="e">
        <f>Tabelle17[[#This Row],[Verbraucht]]/Tabelle17[[#This Row],[Erzeugt]]</f>
        <v>#DIV/0!</v>
      </c>
      <c r="I34" t="s">
        <v>15</v>
      </c>
      <c r="J34" s="29">
        <v>0</v>
      </c>
      <c r="K34" s="29">
        <v>0</v>
      </c>
      <c r="L34" s="1">
        <f>Tabelle138[[#This Row],[Erzeugt]]-Tabelle138[[#This Row],[Eingespeist]]</f>
        <v>0</v>
      </c>
      <c r="M34" s="2">
        <f>Tabelle138[[#This Row],[Verbraucht]]*$K$2</f>
        <v>0</v>
      </c>
      <c r="N34" s="3" t="e">
        <f>Tabelle138[[#This Row],[Verbraucht]]/Tabelle138[[#This Row],[Erzeugt]]</f>
        <v>#DIV/0!</v>
      </c>
      <c r="P34" t="s">
        <v>15</v>
      </c>
      <c r="Q34" s="29">
        <v>0</v>
      </c>
      <c r="R34" s="29">
        <v>0</v>
      </c>
      <c r="S34" s="1">
        <f>Tabelle1349[[#This Row],[Erzeugt]]-Tabelle1349[[#This Row],[Eingespeist]]</f>
        <v>0</v>
      </c>
      <c r="T34" s="2">
        <f>Tabelle1349[[#This Row],[Verbraucht]]*$R$2</f>
        <v>0</v>
      </c>
      <c r="U34" s="3" t="e">
        <f>Tabelle1349[[#This Row],[Verbraucht]]/Tabelle1349[[#This Row],[Erzeugt]]</f>
        <v>#DIV/0!</v>
      </c>
    </row>
    <row r="35" spans="2:21" x14ac:dyDescent="0.25">
      <c r="B35" t="s">
        <v>16</v>
      </c>
      <c r="C35" s="29">
        <v>0</v>
      </c>
      <c r="D35" s="29">
        <v>0</v>
      </c>
      <c r="E35" s="1">
        <f>Tabelle17[[#This Row],[Erzeugt]]-Tabelle17[[#This Row],[Eingespeist]]</f>
        <v>0</v>
      </c>
      <c r="F35" s="2">
        <f>Tabelle17[[#This Row],[Verbraucht]]*$D$2</f>
        <v>0</v>
      </c>
      <c r="G35" s="5" t="e">
        <f>Tabelle17[[#This Row],[Verbraucht]]/Tabelle17[[#This Row],[Erzeugt]]</f>
        <v>#DIV/0!</v>
      </c>
      <c r="I35" t="s">
        <v>16</v>
      </c>
      <c r="J35" s="29">
        <v>0</v>
      </c>
      <c r="K35" s="29">
        <v>0</v>
      </c>
      <c r="L35" s="1">
        <f>Tabelle138[[#This Row],[Erzeugt]]-Tabelle138[[#This Row],[Eingespeist]]</f>
        <v>0</v>
      </c>
      <c r="M35" s="2">
        <f>Tabelle138[[#This Row],[Verbraucht]]*$K$2</f>
        <v>0</v>
      </c>
      <c r="N35" s="3" t="e">
        <f>Tabelle138[[#This Row],[Verbraucht]]/Tabelle138[[#This Row],[Erzeugt]]</f>
        <v>#DIV/0!</v>
      </c>
      <c r="P35" t="s">
        <v>16</v>
      </c>
      <c r="Q35" s="29">
        <v>0</v>
      </c>
      <c r="R35" s="29">
        <v>0</v>
      </c>
      <c r="S35" s="1">
        <f>Tabelle1349[[#This Row],[Erzeugt]]-Tabelle1349[[#This Row],[Eingespeist]]</f>
        <v>0</v>
      </c>
      <c r="T35" s="2">
        <f>Tabelle1349[[#This Row],[Verbraucht]]*$R$2</f>
        <v>0</v>
      </c>
      <c r="U35" s="3" t="e">
        <f>Tabelle1349[[#This Row],[Verbraucht]]/Tabelle1349[[#This Row],[Erzeugt]]</f>
        <v>#DIV/0!</v>
      </c>
    </row>
    <row r="36" spans="2:21" ht="6.95" customHeight="1" x14ac:dyDescent="0.25"/>
  </sheetData>
  <mergeCells count="12">
    <mergeCell ref="B20:C20"/>
    <mergeCell ref="I20:J20"/>
    <mergeCell ref="P20:Q20"/>
    <mergeCell ref="B22:G22"/>
    <mergeCell ref="I22:N22"/>
    <mergeCell ref="P22:U22"/>
    <mergeCell ref="B4:G4"/>
    <mergeCell ref="I4:N4"/>
    <mergeCell ref="P4:U4"/>
    <mergeCell ref="B2:C2"/>
    <mergeCell ref="I2:J2"/>
    <mergeCell ref="P2:Q2"/>
  </mergeCells>
  <pageMargins left="0.7" right="0.7" top="0.78740157499999996" bottom="0.78740157499999996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9224-D4D1-4D5B-9B19-58535EB4C2CB}">
  <dimension ref="A1:I21"/>
  <sheetViews>
    <sheetView showGridLines="0" workbookViewId="0">
      <selection activeCell="C11" sqref="C11:D19"/>
    </sheetView>
  </sheetViews>
  <sheetFormatPr baseColWidth="10" defaultColWidth="0" defaultRowHeight="15" zeroHeight="1" x14ac:dyDescent="0.25"/>
  <cols>
    <col min="1" max="1" width="3.7109375" customWidth="1"/>
    <col min="2" max="2" width="11.42578125" customWidth="1"/>
    <col min="3" max="4" width="22.7109375" customWidth="1"/>
    <col min="5" max="5" width="11.42578125" customWidth="1"/>
    <col min="6" max="6" width="3.7109375" customWidth="1"/>
    <col min="7" max="9" width="0" hidden="1" customWidth="1"/>
    <col min="10" max="16384" width="11.42578125" hidden="1"/>
  </cols>
  <sheetData>
    <row r="1" spans="2:6" ht="6.95" customHeight="1" x14ac:dyDescent="0.25"/>
    <row r="2" spans="2:6" ht="15" customHeight="1" x14ac:dyDescent="0.25">
      <c r="B2" s="28" t="s">
        <v>23</v>
      </c>
      <c r="C2" s="28"/>
      <c r="D2" s="28"/>
      <c r="E2" s="28"/>
      <c r="F2" s="9"/>
    </row>
    <row r="3" spans="2:6" ht="15" customHeight="1" x14ac:dyDescent="0.25">
      <c r="B3" s="28"/>
      <c r="C3" s="28"/>
      <c r="D3" s="28"/>
      <c r="E3" s="28"/>
      <c r="F3" s="9"/>
    </row>
    <row r="4" spans="2:6" ht="15" customHeight="1" x14ac:dyDescent="0.25">
      <c r="B4" s="28"/>
      <c r="C4" s="28"/>
      <c r="D4" s="28"/>
      <c r="E4" s="28"/>
      <c r="F4" s="9"/>
    </row>
    <row r="5" spans="2:6" ht="15" customHeight="1" x14ac:dyDescent="0.25">
      <c r="B5" s="28"/>
      <c r="C5" s="28"/>
      <c r="D5" s="28"/>
      <c r="E5" s="28"/>
      <c r="F5" s="9"/>
    </row>
    <row r="6" spans="2:6" ht="15" customHeight="1" x14ac:dyDescent="0.25">
      <c r="B6" s="28"/>
      <c r="C6" s="28"/>
      <c r="D6" s="28"/>
      <c r="E6" s="28"/>
      <c r="F6" s="9"/>
    </row>
    <row r="7" spans="2:6" ht="15" customHeight="1" x14ac:dyDescent="0.25">
      <c r="B7" s="28"/>
      <c r="C7" s="28"/>
      <c r="D7" s="28"/>
      <c r="E7" s="28"/>
      <c r="F7" s="9"/>
    </row>
    <row r="8" spans="2:6" ht="9.9499999999999993" customHeight="1" x14ac:dyDescent="0.25"/>
    <row r="9" spans="2:6" ht="18.75" x14ac:dyDescent="0.25">
      <c r="C9" s="26" t="s">
        <v>29</v>
      </c>
      <c r="D9" s="27"/>
    </row>
    <row r="10" spans="2:6" ht="15.75" x14ac:dyDescent="0.25">
      <c r="C10" s="6" t="s">
        <v>24</v>
      </c>
      <c r="D10" s="4" t="s">
        <v>25</v>
      </c>
    </row>
    <row r="11" spans="2:6" x14ac:dyDescent="0.25">
      <c r="C11" s="31"/>
      <c r="D11" s="32"/>
    </row>
    <row r="12" spans="2:6" x14ac:dyDescent="0.25">
      <c r="C12" s="31"/>
      <c r="D12" s="32"/>
    </row>
    <row r="13" spans="2:6" x14ac:dyDescent="0.25">
      <c r="C13" s="31"/>
      <c r="D13" s="32"/>
    </row>
    <row r="14" spans="2:6" x14ac:dyDescent="0.25">
      <c r="C14" s="31"/>
      <c r="D14" s="32"/>
    </row>
    <row r="15" spans="2:6" x14ac:dyDescent="0.25">
      <c r="C15" s="31"/>
      <c r="D15" s="32"/>
    </row>
    <row r="16" spans="2:6" x14ac:dyDescent="0.25">
      <c r="C16" s="31"/>
      <c r="D16" s="32"/>
    </row>
    <row r="17" spans="3:4" x14ac:dyDescent="0.25">
      <c r="C17" s="31"/>
      <c r="D17" s="32"/>
    </row>
    <row r="18" spans="3:4" x14ac:dyDescent="0.25">
      <c r="C18" s="31"/>
      <c r="D18" s="32"/>
    </row>
    <row r="19" spans="3:4" x14ac:dyDescent="0.25">
      <c r="C19" s="31"/>
      <c r="D19" s="32"/>
    </row>
    <row r="20" spans="3:4" ht="15.75" x14ac:dyDescent="0.25">
      <c r="C20" s="8" t="s">
        <v>26</v>
      </c>
      <c r="D20" s="7">
        <f>SUM(Tabelle411[Preis])</f>
        <v>0</v>
      </c>
    </row>
    <row r="21" spans="3:4" ht="6.95" customHeight="1" x14ac:dyDescent="0.25"/>
  </sheetData>
  <mergeCells count="2">
    <mergeCell ref="C9:D9"/>
    <mergeCell ref="B2:E7"/>
  </mergeCells>
  <pageMargins left="0.7" right="0.7" top="0.78740157499999996" bottom="0.78740157499999996" header="0.3" footer="0.3"/>
  <pageSetup paperSize="15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Dashboard</vt:lpstr>
      <vt:lpstr>Jahre</vt:lpstr>
      <vt:lpstr>Anschaffungskosten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Pritchett</dc:creator>
  <cp:lastModifiedBy>Dominik Pritchett</cp:lastModifiedBy>
  <dcterms:created xsi:type="dcterms:W3CDTF">2015-06-05T18:19:34Z</dcterms:created>
  <dcterms:modified xsi:type="dcterms:W3CDTF">2025-08-04T09:11:55Z</dcterms:modified>
</cp:coreProperties>
</file>